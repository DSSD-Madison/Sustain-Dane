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rankieFosdick\Downloads\"/>
    </mc:Choice>
  </mc:AlternateContent>
  <xr:revisionPtr revIDLastSave="0" documentId="13_ncr:1_{F8308CF4-0E68-4AEC-822A-B0623E40DF89}" xr6:coauthVersionLast="47" xr6:coauthVersionMax="47" xr10:uidLastSave="{00000000-0000-0000-0000-000000000000}"/>
  <bookViews>
    <workbookView xWindow="13550" yWindow="-110" windowWidth="19420" windowHeight="10300" firstSheet="3" activeTab="4" xr2:uid="{00000000-000D-0000-FFFF-FFFF00000000}"/>
  </bookViews>
  <sheets>
    <sheet name="Summary Tab" sheetId="1" r:id="rId1"/>
    <sheet name="OEI by Measure" sheetId="2" r:id="rId2"/>
    <sheet name="CDBG and ARPA by Measure" sheetId="3" r:id="rId3"/>
    <sheet name="Madison Capital 2024" sheetId="4" r:id="rId4"/>
    <sheet name="Madison Capital &amp; EECBG 2025" sheetId="5" r:id="rId5"/>
    <sheet name="All Properties Data (Bad data)" sheetId="6" state="hidden" r:id="rId6"/>
    <sheet name="Multiyear Properties (Bad data)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eNbggWJa1ucVvSMF6LuWGfkfTTMAo2v1ybJuW5DJuDI="/>
    </ext>
  </extLst>
</workbook>
</file>

<file path=xl/calcChain.xml><?xml version="1.0" encoding="utf-8"?>
<calcChain xmlns="http://schemas.openxmlformats.org/spreadsheetml/2006/main">
  <c r="P38" i="6" l="1"/>
  <c r="O38" i="6"/>
  <c r="N38" i="6"/>
  <c r="M38" i="6"/>
  <c r="K38" i="6"/>
  <c r="J38" i="6"/>
  <c r="H38" i="6"/>
  <c r="F38" i="6"/>
  <c r="E38" i="6"/>
  <c r="D38" i="6"/>
  <c r="C38" i="6"/>
  <c r="C79" i="5"/>
  <c r="U76" i="5"/>
  <c r="T76" i="5"/>
  <c r="S76" i="5"/>
  <c r="R76" i="5"/>
  <c r="P76" i="5"/>
  <c r="O76" i="5"/>
  <c r="N76" i="5"/>
  <c r="M76" i="5"/>
  <c r="L76" i="5"/>
  <c r="K76" i="5"/>
  <c r="J76" i="5"/>
  <c r="I76" i="5"/>
  <c r="H76" i="5"/>
  <c r="U70" i="5"/>
  <c r="T70" i="5"/>
  <c r="S70" i="5"/>
  <c r="R70" i="5"/>
  <c r="P70" i="5"/>
  <c r="O70" i="5"/>
  <c r="N70" i="5"/>
  <c r="M70" i="5"/>
  <c r="L70" i="5"/>
  <c r="K70" i="5"/>
  <c r="J70" i="5"/>
  <c r="I70" i="5"/>
  <c r="H70" i="5"/>
  <c r="U67" i="5"/>
  <c r="T67" i="5"/>
  <c r="S67" i="5"/>
  <c r="R67" i="5"/>
  <c r="P67" i="5"/>
  <c r="O67" i="5"/>
  <c r="N67" i="5"/>
  <c r="M67" i="5"/>
  <c r="L67" i="5"/>
  <c r="K67" i="5"/>
  <c r="J67" i="5"/>
  <c r="I67" i="5"/>
  <c r="H67" i="5"/>
  <c r="U60" i="5"/>
  <c r="T60" i="5"/>
  <c r="S60" i="5"/>
  <c r="R60" i="5"/>
  <c r="P60" i="5"/>
  <c r="O60" i="5"/>
  <c r="N60" i="5"/>
  <c r="M60" i="5"/>
  <c r="L60" i="5"/>
  <c r="K60" i="5"/>
  <c r="J60" i="5"/>
  <c r="I60" i="5"/>
  <c r="H60" i="5"/>
  <c r="U51" i="5"/>
  <c r="T51" i="5"/>
  <c r="S51" i="5"/>
  <c r="R51" i="5"/>
  <c r="P51" i="5"/>
  <c r="O51" i="5"/>
  <c r="N51" i="5"/>
  <c r="M51" i="5"/>
  <c r="L51" i="5"/>
  <c r="K51" i="5"/>
  <c r="J51" i="5"/>
  <c r="I51" i="5"/>
  <c r="H51" i="5"/>
  <c r="U45" i="5"/>
  <c r="T45" i="5"/>
  <c r="S45" i="5"/>
  <c r="R45" i="5"/>
  <c r="P45" i="5"/>
  <c r="O45" i="5"/>
  <c r="N45" i="5"/>
  <c r="M45" i="5"/>
  <c r="L45" i="5"/>
  <c r="K45" i="5"/>
  <c r="J45" i="5"/>
  <c r="I45" i="5"/>
  <c r="H45" i="5"/>
  <c r="U39" i="5"/>
  <c r="T39" i="5"/>
  <c r="S39" i="5"/>
  <c r="R39" i="5"/>
  <c r="P39" i="5"/>
  <c r="O39" i="5"/>
  <c r="N39" i="5"/>
  <c r="M39" i="5"/>
  <c r="L39" i="5"/>
  <c r="K39" i="5"/>
  <c r="J39" i="5"/>
  <c r="I39" i="5"/>
  <c r="H39" i="5"/>
  <c r="U35" i="5"/>
  <c r="T35" i="5"/>
  <c r="S35" i="5"/>
  <c r="R35" i="5"/>
  <c r="P35" i="5"/>
  <c r="O35" i="5"/>
  <c r="N35" i="5"/>
  <c r="M35" i="5"/>
  <c r="L35" i="5"/>
  <c r="K35" i="5"/>
  <c r="J35" i="5"/>
  <c r="I35" i="5"/>
  <c r="H35" i="5"/>
  <c r="U32" i="5"/>
  <c r="T32" i="5"/>
  <c r="S32" i="5"/>
  <c r="R32" i="5"/>
  <c r="P32" i="5"/>
  <c r="O32" i="5"/>
  <c r="N32" i="5"/>
  <c r="M32" i="5"/>
  <c r="L32" i="5"/>
  <c r="K32" i="5"/>
  <c r="J32" i="5"/>
  <c r="I32" i="5"/>
  <c r="H32" i="5"/>
  <c r="U24" i="5"/>
  <c r="T24" i="5"/>
  <c r="S24" i="5"/>
  <c r="R24" i="5"/>
  <c r="P24" i="5"/>
  <c r="O24" i="5"/>
  <c r="N24" i="5"/>
  <c r="M24" i="5"/>
  <c r="L24" i="5"/>
  <c r="K24" i="5"/>
  <c r="J24" i="5"/>
  <c r="I24" i="5"/>
  <c r="H24" i="5"/>
  <c r="U15" i="5"/>
  <c r="T15" i="5"/>
  <c r="S15" i="5"/>
  <c r="R15" i="5"/>
  <c r="P15" i="5"/>
  <c r="O15" i="5"/>
  <c r="N15" i="5"/>
  <c r="M15" i="5"/>
  <c r="L15" i="5"/>
  <c r="K15" i="5"/>
  <c r="J15" i="5"/>
  <c r="I15" i="5"/>
  <c r="H15" i="5"/>
  <c r="K62" i="3"/>
  <c r="J62" i="3"/>
  <c r="I62" i="3"/>
  <c r="H62" i="3"/>
  <c r="G62" i="3"/>
  <c r="F62" i="3"/>
  <c r="E62" i="3"/>
  <c r="K61" i="2"/>
  <c r="J61" i="2"/>
  <c r="I61" i="2"/>
  <c r="H61" i="2"/>
  <c r="G61" i="2"/>
  <c r="F61" i="2"/>
  <c r="E61" i="2"/>
  <c r="T8" i="1"/>
  <c r="O8" i="1"/>
  <c r="N8" i="1"/>
  <c r="M8" i="1"/>
  <c r="L8" i="1"/>
  <c r="K8" i="1"/>
  <c r="J8" i="1"/>
  <c r="I8" i="1"/>
  <c r="H8" i="1"/>
  <c r="G8" i="1"/>
  <c r="F8" i="1"/>
  <c r="E8" i="1"/>
  <c r="C8" i="1"/>
  <c r="B8" i="1"/>
  <c r="R7" i="1"/>
  <c r="Q7" i="1"/>
  <c r="P7" i="1"/>
  <c r="R5" i="1"/>
  <c r="Q5" i="1"/>
  <c r="P5" i="1"/>
  <c r="R4" i="1"/>
  <c r="R8" i="1" s="1"/>
  <c r="Q4" i="1"/>
  <c r="Q8" i="1" s="1"/>
  <c r="P4" i="1"/>
  <c r="P8" i="1" s="1"/>
  <c r="H79" i="5" l="1"/>
  <c r="I79" i="5"/>
  <c r="J79" i="5"/>
  <c r="K79" i="5"/>
  <c r="L79" i="5"/>
  <c r="M79" i="5"/>
  <c r="N79" i="5"/>
  <c r="O79" i="5"/>
  <c r="P79" i="5"/>
  <c r="R79" i="5"/>
  <c r="S79" i="5"/>
  <c r="T79" i="5"/>
  <c r="U79" i="5"/>
</calcChain>
</file>

<file path=xl/sharedStrings.xml><?xml version="1.0" encoding="utf-8"?>
<sst xmlns="http://schemas.openxmlformats.org/spreadsheetml/2006/main" count="746" uniqueCount="268">
  <si>
    <t>Funding year</t>
  </si>
  <si>
    <t>Buildings ↑</t>
  </si>
  <si>
    <t>Property: Number of Units  ↑</t>
  </si>
  <si>
    <t>Grant Funded Amount</t>
  </si>
  <si>
    <t>Therms projected savings</t>
  </si>
  <si>
    <t>kWh Projected Savings</t>
  </si>
  <si>
    <t>Yearly CO2 Emissions Savings (kg)</t>
  </si>
  <si>
    <t>Projected VMT Avoided</t>
  </si>
  <si>
    <t>Total Projected Savings</t>
  </si>
  <si>
    <t>Owner Projected Savings ($)</t>
  </si>
  <si>
    <t>Tenant Projected Savings ($)</t>
  </si>
  <si>
    <t>Energy Efficiency Measures</t>
  </si>
  <si>
    <t>Health and safety measures</t>
  </si>
  <si>
    <t>Total measures implemented</t>
  </si>
  <si>
    <t>10 year projected saving</t>
  </si>
  <si>
    <t>15 year projected savings</t>
  </si>
  <si>
    <t>20 year projected savings</t>
  </si>
  <si>
    <t>Residents</t>
  </si>
  <si>
    <t>Children</t>
  </si>
  <si>
    <t>Seniors</t>
  </si>
  <si>
    <t>Notes</t>
  </si>
  <si>
    <t>OEI</t>
  </si>
  <si>
    <t>Not gathered during intake</t>
  </si>
  <si>
    <t>CDBG &amp; ARPA</t>
  </si>
  <si>
    <t>Mad EN 2024</t>
  </si>
  <si>
    <t>Mad EN 2025 &amp; EECBG</t>
  </si>
  <si>
    <t>Total</t>
  </si>
  <si>
    <t xml:space="preserve">24k - 1 time around the earth </t>
  </si>
  <si>
    <t>Property: Number of Units ↑</t>
  </si>
  <si>
    <t>Implementation: Implementation</t>
  </si>
  <si>
    <t xml:space="preserve">Wall Insulation </t>
  </si>
  <si>
    <t xml:space="preserve">Refrigerators </t>
  </si>
  <si>
    <t>Lighting</t>
  </si>
  <si>
    <t xml:space="preserve">Ventilation </t>
  </si>
  <si>
    <t>Air Sealing</t>
  </si>
  <si>
    <t xml:space="preserve">Lighting </t>
  </si>
  <si>
    <t xml:space="preserve">Rim Joist Insulation </t>
  </si>
  <si>
    <t xml:space="preserve">Pipe insulation </t>
  </si>
  <si>
    <t xml:space="preserve">HPWH </t>
  </si>
  <si>
    <t>Attic Insulation</t>
  </si>
  <si>
    <t>Other</t>
  </si>
  <si>
    <t xml:space="preserve">Air sealing </t>
  </si>
  <si>
    <t>Boiler replacement</t>
  </si>
  <si>
    <t>Refrigerator</t>
  </si>
  <si>
    <t xml:space="preserve">Rim joist insulation  </t>
  </si>
  <si>
    <t xml:space="preserve">Air Sealing </t>
  </si>
  <si>
    <t>Bath Fans</t>
  </si>
  <si>
    <t xml:space="preserve">Boiler </t>
  </si>
  <si>
    <t xml:space="preserve">Bath fans </t>
  </si>
  <si>
    <t xml:space="preserve">Attic Insulation </t>
  </si>
  <si>
    <t xml:space="preserve">Other </t>
  </si>
  <si>
    <t xml:space="preserve">Attic insulation </t>
  </si>
  <si>
    <t>Refrigerators</t>
  </si>
  <si>
    <t xml:space="preserve">Rim joist </t>
  </si>
  <si>
    <t>Air sealing</t>
  </si>
  <si>
    <t>Bath fans</t>
  </si>
  <si>
    <t>Attic insulation</t>
  </si>
  <si>
    <t>Air conditioners</t>
  </si>
  <si>
    <t>Boiler tune up</t>
  </si>
  <si>
    <t>Outdoor reset control</t>
  </si>
  <si>
    <t>Water heater</t>
  </si>
  <si>
    <t>Rim Joist Insulation</t>
  </si>
  <si>
    <t xml:space="preserve">Wall insulation </t>
  </si>
  <si>
    <t>Wall Insulation</t>
  </si>
  <si>
    <t>Wall Insulation (sidewalls &amp; porch)</t>
  </si>
  <si>
    <t xml:space="preserve">Dual Fuel ASHP </t>
  </si>
  <si>
    <t>Gas Water Heater Replacement</t>
  </si>
  <si>
    <t xml:space="preserve">Electric Heat to ASHP </t>
  </si>
  <si>
    <t>Electrical</t>
  </si>
  <si>
    <t>Heat Pump Water Heater Replacement</t>
  </si>
  <si>
    <t>Gas to electric stove</t>
  </si>
  <si>
    <t xml:space="preserve">Room AC Upgrade ASHP </t>
  </si>
  <si>
    <t xml:space="preserve">Boiler upgrade </t>
  </si>
  <si>
    <t xml:space="preserve">Electrical </t>
  </si>
  <si>
    <t>Ventilation</t>
  </si>
  <si>
    <t>Wall insulation</t>
  </si>
  <si>
    <t>Property: City ↑</t>
  </si>
  <si>
    <t>Property: Number of Units</t>
  </si>
  <si>
    <t>Type of Measure</t>
  </si>
  <si>
    <t>Implementation</t>
  </si>
  <si>
    <t>Total Incentive Amount</t>
  </si>
  <si>
    <t>Yearly Energy Savings (MMBTU)</t>
  </si>
  <si>
    <t>Energy Efficiency</t>
  </si>
  <si>
    <t>Health &amp; Safety</t>
  </si>
  <si>
    <t>Focus on Energy Rebate Denial</t>
  </si>
  <si>
    <t>Electric Heat to ASHP</t>
  </si>
  <si>
    <t xml:space="preserve">Boiler Tune Up </t>
  </si>
  <si>
    <t xml:space="preserve">Heat Pump Water Heater Replacement </t>
  </si>
  <si>
    <t>Gas to Electric Stove</t>
  </si>
  <si>
    <t>Water Softener</t>
  </si>
  <si>
    <t>Electrical work</t>
  </si>
  <si>
    <t>13 Health &amp; Safety
 32 Energy Efficiency</t>
  </si>
  <si>
    <t>45 total measures</t>
  </si>
  <si>
    <t>Detailed Measures</t>
  </si>
  <si>
    <t>Account</t>
  </si>
  <si>
    <t>Est. % Energy Savings</t>
  </si>
  <si>
    <t>Est. Total Number of Residents</t>
  </si>
  <si>
    <t>Est. # of Children</t>
  </si>
  <si>
    <t>Est. # of Seniors</t>
  </si>
  <si>
    <t>boiler inspection</t>
  </si>
  <si>
    <t>RG Heating &amp; Air Conditioning</t>
  </si>
  <si>
    <t>thermostat install Unit D, low voltage wiring repairs</t>
  </si>
  <si>
    <t>Water heater re-vent and chimney liner</t>
  </si>
  <si>
    <t>no-heat and after hours service call</t>
  </si>
  <si>
    <t xml:space="preserve">Mold </t>
  </si>
  <si>
    <t>mold removal</t>
  </si>
  <si>
    <t>Advanced Health &amp; Safety</t>
  </si>
  <si>
    <t xml:space="preserve">Boiler tune up  </t>
  </si>
  <si>
    <t>drain system, replaced 2 valves and backflow preventer, refill system and test</t>
  </si>
  <si>
    <t>Replace Refrigerators</t>
  </si>
  <si>
    <t>Frigidaire FFTR1835VW, 18.3 cu ft</t>
  </si>
  <si>
    <t>Brothers Main</t>
  </si>
  <si>
    <t>Project Home</t>
  </si>
  <si>
    <t xml:space="preserve">Ventilation  </t>
  </si>
  <si>
    <t>bathroom exhaust fans - none existing</t>
  </si>
  <si>
    <t>Painting - wall repair after insulating</t>
  </si>
  <si>
    <t>New Era</t>
  </si>
  <si>
    <t>Sum</t>
  </si>
  <si>
    <t>Count</t>
  </si>
  <si>
    <t xml:space="preserve">Gas leak  </t>
  </si>
  <si>
    <t>fix 4 gas leaks</t>
  </si>
  <si>
    <t>RG Heating</t>
  </si>
  <si>
    <t>asbestos abetment</t>
  </si>
  <si>
    <t>bath fans - replace and insulate duct work</t>
  </si>
  <si>
    <t>Accurate-Airtight Exteriors LLC</t>
  </si>
  <si>
    <t>combustion safety testing, attic air sealing, mechanical room air sealing</t>
  </si>
  <si>
    <t>attic insulation and increased attic ventilation</t>
  </si>
  <si>
    <t>Windows</t>
  </si>
  <si>
    <t>34 windows, 560 sq ft</t>
  </si>
  <si>
    <t>HLW Builders</t>
  </si>
  <si>
    <t xml:space="preserve">Energy Efficiency </t>
  </si>
  <si>
    <t>Boiler Tune Up</t>
  </si>
  <si>
    <t>Boiler clean and tune, and combustion testing analysis</t>
  </si>
  <si>
    <t>Southport Engineered Systems</t>
  </si>
  <si>
    <t>wall insulation with lead safe practices, front framed floor insulation</t>
  </si>
  <si>
    <t>switch and connection for bath and kitchen fans</t>
  </si>
  <si>
    <t>Selectric</t>
  </si>
  <si>
    <t>attic insulation, insulation removal, attic ventilation</t>
  </si>
  <si>
    <t>2 bath fans, 1 kitchen fan</t>
  </si>
  <si>
    <t>22 windows, 228 sq ft</t>
  </si>
  <si>
    <t>Mold</t>
  </si>
  <si>
    <t>mold inspection and report</t>
  </si>
  <si>
    <t>water damage assessment</t>
  </si>
  <si>
    <t>Environmental Initiatives of North America INC</t>
  </si>
  <si>
    <t xml:space="preserve">Windows  </t>
  </si>
  <si>
    <t>18 windows</t>
  </si>
  <si>
    <t>Prairie Exteriors &amp; Painting</t>
  </si>
  <si>
    <t>replace and revent 10 bath fans</t>
  </si>
  <si>
    <t>combustion safety testing, attic air sealing, mechanical room sealing, permit cost</t>
  </si>
  <si>
    <t>49 windows</t>
  </si>
  <si>
    <t>attic insulation, improved attic ventilation, building containment</t>
  </si>
  <si>
    <t>combustion safety testing, attic air sealing, mechanical room air sealing, permit fees</t>
  </si>
  <si>
    <t>replace and revent 20 bath fans</t>
  </si>
  <si>
    <t>gas leak repair</t>
  </si>
  <si>
    <t>40kbtu 97% furnace and 2 ton 15 SEER heat pump, termostats, chimney liner</t>
  </si>
  <si>
    <t>gas leak repair (2nd invoice)</t>
  </si>
  <si>
    <t>replace bath fans</t>
  </si>
  <si>
    <t>2 bathroom exhaust fans</t>
  </si>
  <si>
    <t>Trane 40kbtu 97% AFUE furnace, 16 SSER HP, AHRI #213912185</t>
  </si>
  <si>
    <t xml:space="preserve">Attic insulation  </t>
  </si>
  <si>
    <t>air sealing, blower door testing, combustion safety testing</t>
  </si>
  <si>
    <t>23 Windows, 358 sq ft</t>
  </si>
  <si>
    <t>basement and attic air sealing, weatherstrip exterior doors</t>
  </si>
  <si>
    <t>replace 4 bath fans</t>
  </si>
  <si>
    <t xml:space="preserve">34 Energy Efficiency, 19 H&amp;S/Other </t>
  </si>
  <si>
    <t>Address</t>
  </si>
  <si>
    <t>Units</t>
  </si>
  <si>
    <t>All Tenants Annual Utility Savings ($) - Whole Building</t>
  </si>
  <si>
    <t>Tenant Annual Utility Savings Per Unit</t>
  </si>
  <si>
    <t>Tenant Utility Cost Savings (%)</t>
  </si>
  <si>
    <t>Total Owner Utility Annual Savings ($)</t>
  </si>
  <si>
    <t>Owner Utility Cost Savings (%)</t>
  </si>
  <si>
    <t>Total Energy Cost Savings ($)</t>
  </si>
  <si>
    <t>Total Lifecycle Cost Savings</t>
  </si>
  <si>
    <t>Water Usage Reduction (%)</t>
  </si>
  <si>
    <t>Percent Annual Energy Savings - Building</t>
  </si>
  <si>
    <t>GHG  of Car Miles Driven</t>
  </si>
  <si>
    <t>Percent Total Energy Cost ($$$) Savings (%)</t>
  </si>
  <si>
    <t xml:space="preserve">
</t>
  </si>
  <si>
    <t>1314 Crowley Ave</t>
  </si>
  <si>
    <t>1929 Schlimgen Ave</t>
  </si>
  <si>
    <t>2009 Leland Dr</t>
  </si>
  <si>
    <t>2309 Brentwood Parkway</t>
  </si>
  <si>
    <t>2337 E Johnson St</t>
  </si>
  <si>
    <t>2505 Monterey Drive</t>
  </si>
  <si>
    <t>26&amp;42 Northridge Terrace</t>
  </si>
  <si>
    <t>4142 Monona Drive - CDBG</t>
  </si>
  <si>
    <t>4244-4250 Lumley</t>
  </si>
  <si>
    <t>432 Oak St</t>
  </si>
  <si>
    <t>4638 &amp; 4650 Hayes Rd</t>
  </si>
  <si>
    <t>5809 Balsam Rd</t>
  </si>
  <si>
    <t>5830 Balsam Rd</t>
  </si>
  <si>
    <t>722 Moorland Rd - CDBG</t>
  </si>
  <si>
    <t>806/810, 814/818, &amp; 822 Mayfair Ave</t>
  </si>
  <si>
    <t>5834 Balsam - ARPA</t>
  </si>
  <si>
    <t>2630 Fairfield Place - ARPA</t>
  </si>
  <si>
    <t>18 (21) buildings</t>
  </si>
  <si>
    <t>78 OEI, 16 CDBG, 10 both OEI and CDBG, 6 units ARPA only</t>
  </si>
  <si>
    <t>average all tenants annual utility savings per building</t>
  </si>
  <si>
    <t>average tenant annual utility savings per unit</t>
  </si>
  <si>
    <t>average annual owner utility savings per building</t>
  </si>
  <si>
    <t>average energy cost savings per building</t>
  </si>
  <si>
    <t>average lifecycle cost savings per building</t>
  </si>
  <si>
    <t>average yearly energy savings per building</t>
  </si>
  <si>
    <t>average annual C02 emissions savings per building</t>
  </si>
  <si>
    <t>average GHG of car miles driven</t>
  </si>
  <si>
    <t>per building average</t>
  </si>
  <si>
    <t>47 MMBTU</t>
  </si>
  <si>
    <t>3,550 kg</t>
  </si>
  <si>
    <t>95,005 miles</t>
  </si>
  <si>
    <t>2009 Leland Dr OEI</t>
  </si>
  <si>
    <t>2009 Leland Dr ARPA</t>
  </si>
  <si>
    <t>2337 E Johnson St OEI</t>
  </si>
  <si>
    <t>2337 E Johnson St CDBG</t>
  </si>
  <si>
    <t>2337 E Johnson St ARPA</t>
  </si>
  <si>
    <t>2505 Monterey Dr OEI</t>
  </si>
  <si>
    <t>2505 Monterey Dr ARPA</t>
  </si>
  <si>
    <t>26 Northridge Terrace OEI</t>
  </si>
  <si>
    <t>$2248 or $1921</t>
  </si>
  <si>
    <t>3893 or 2798</t>
  </si>
  <si>
    <t>26 Northridge Terrace CDBG</t>
  </si>
  <si>
    <t>5830 Balsam Rd OEI</t>
  </si>
  <si>
    <t>$1364 or $1436</t>
  </si>
  <si>
    <t>10532 or 9957</t>
  </si>
  <si>
    <t>5830 Balsam Rd CDBG</t>
  </si>
  <si>
    <t>Cross Street</t>
  </si>
  <si>
    <t>Aberg Ave / Crowley Ave</t>
  </si>
  <si>
    <t>Huxley St. / Schlimgen Ave</t>
  </si>
  <si>
    <t xml:space="preserve">Balsam Rd. / Leland Dr. </t>
  </si>
  <si>
    <t>Wyldewood Dr. / Brentwood Pkwy</t>
  </si>
  <si>
    <t xml:space="preserve">E Johnson St. / N 6th St. </t>
  </si>
  <si>
    <t>Wyldewood Dr. / Monterey Drive</t>
  </si>
  <si>
    <t>Northport Dr. / Northridge Terrace</t>
  </si>
  <si>
    <t xml:space="preserve">Danbury St. / Lumley Rd. </t>
  </si>
  <si>
    <t xml:space="preserve">N Oak St. / Hoard St. </t>
  </si>
  <si>
    <t>Hayes Rd. / Willage Green Lane E</t>
  </si>
  <si>
    <t>Balsam Rd. / Thrush Ln</t>
  </si>
  <si>
    <t xml:space="preserve">Mayfair Ave. / Lexington Ave. </t>
  </si>
  <si>
    <t xml:space="preserve">N. Butler St. / N. Hamilton St. </t>
  </si>
  <si>
    <t xml:space="preserve">Leland Dr. / Balsam Rd. </t>
  </si>
  <si>
    <t xml:space="preserve">E. Johnson St. / N. 6th St. </t>
  </si>
  <si>
    <t>Monterey Dr. / Trailsway</t>
  </si>
  <si>
    <t xml:space="preserve">Fairfield Pl. / Kedzie St. </t>
  </si>
  <si>
    <t xml:space="preserve">Manona Dr. / Buckeye Rd. </t>
  </si>
  <si>
    <t xml:space="preserve">Balsam Rd. / Thrush Ln. </t>
  </si>
  <si>
    <t xml:space="preserve">Moorland Rd. / Warner St. </t>
  </si>
  <si>
    <t xml:space="preserve">Hoard St. / N. Oak St. </t>
  </si>
  <si>
    <t xml:space="preserve">Albert Ct. / Prairie Ave. </t>
  </si>
  <si>
    <t xml:space="preserve">Algoma St. / Hoard St. </t>
  </si>
  <si>
    <t xml:space="preserve">Camden Rd. / Ruth St. </t>
  </si>
  <si>
    <t xml:space="preserve">University Ave. / N. Midvale Blvd. </t>
  </si>
  <si>
    <t xml:space="preserve">Fairmont Ave. / Burke Ave. </t>
  </si>
  <si>
    <t>Sinykin Cir. / Stein Ave</t>
  </si>
  <si>
    <t>Rethke Ave / Worthington Ave</t>
  </si>
  <si>
    <t xml:space="preserve">Powers Ave / Wells Ave </t>
  </si>
  <si>
    <t xml:space="preserve">Tempe Dr. / Muir Field Rd. </t>
  </si>
  <si>
    <t xml:space="preserve">Helene Pkwy / Britta Dr. </t>
  </si>
  <si>
    <t xml:space="preserve">Burr Oak Ln.  / S. Park St. </t>
  </si>
  <si>
    <t xml:space="preserve">S. Brearly St. / Jenifer St. </t>
  </si>
  <si>
    <t xml:space="preserve">Allied Dr. / Crescent Rd. </t>
  </si>
  <si>
    <t xml:space="preserve">N. Butler St. / E. Johnson St. </t>
  </si>
  <si>
    <t xml:space="preserve">W. Fieldler Ln. / W Badger Rd. </t>
  </si>
  <si>
    <t xml:space="preserve">Fish Hatchery Rd. / Petra Pl. </t>
  </si>
  <si>
    <t xml:space="preserve">Rogers St. / Jenifer St. </t>
  </si>
  <si>
    <t xml:space="preserve">Carver St. / Frazer Pl. </t>
  </si>
  <si>
    <t xml:space="preserve">3rd Ave. / Bram St.  </t>
  </si>
  <si>
    <t xml:space="preserve">University Ave. / Chamberlain Ave.	</t>
  </si>
  <si>
    <t xml:space="preserve">Hanover St / Troy Dr.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</si>
</sst>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_([$$-409]* #,##0_);_([$$-409]* \(#,##0\);_([$$-409]* &quot;-&quot;??_);_(@_)"/>
    <numFmt numFmtId="165" formatCode="&quot;$&quot;#,##0.00"/>
    <numFmt numFmtId="166" formatCode="&quot;$&quot;#,##0"/>
  </numFmts>
  <fonts count="30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9"/>
      <color rgb="FF444649"/>
      <name val="Calibri"/>
    </font>
    <font>
      <sz val="11"/>
      <name val="Aptos narrow"/>
    </font>
    <font>
      <sz val="9"/>
      <color theme="1"/>
      <name val="Helvetica Neue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rgb="FF000000"/>
      <name val="Aptos narrow"/>
    </font>
    <font>
      <sz val="11"/>
      <color rgb="FF000000"/>
      <name val="&quot;Aptos Narrow&quot;"/>
    </font>
    <font>
      <sz val="9"/>
      <color rgb="FF000000"/>
      <name val="Calibri"/>
    </font>
    <font>
      <sz val="9"/>
      <color rgb="FF000000"/>
      <name val="Helvetica Neue"/>
    </font>
    <font>
      <sz val="9"/>
      <color rgb="FFFF0000"/>
      <name val="Calibri"/>
    </font>
    <font>
      <b/>
      <sz val="12"/>
      <color rgb="FF56585B"/>
      <name val="Calibri"/>
    </font>
    <font>
      <sz val="12"/>
      <color rgb="FF000000"/>
      <name val="Calibri"/>
    </font>
    <font>
      <b/>
      <sz val="11"/>
      <color rgb="FF000000"/>
      <name val="&quot;Aptos Narrow&quot;"/>
    </font>
    <font>
      <b/>
      <sz val="12"/>
      <color rgb="FF000000"/>
      <name val="Calibri"/>
    </font>
    <font>
      <sz val="12"/>
      <color rgb="FFFF0000"/>
      <name val="Calibri"/>
    </font>
    <font>
      <b/>
      <sz val="12"/>
      <color theme="1"/>
      <name val="Calibri"/>
    </font>
    <font>
      <sz val="12"/>
      <color rgb="FF56585B"/>
      <name val="Calibri"/>
    </font>
    <font>
      <b/>
      <sz val="11"/>
      <color theme="1"/>
      <name val="Aptos narrow"/>
      <scheme val="minor"/>
    </font>
    <font>
      <sz val="12"/>
      <color theme="1"/>
      <name val="Calibri"/>
    </font>
    <font>
      <b/>
      <sz val="11"/>
      <color theme="1"/>
      <name val="Aptos narrow"/>
    </font>
    <font>
      <b/>
      <sz val="11"/>
      <color theme="1"/>
      <name val="Arial"/>
    </font>
    <font>
      <b/>
      <sz val="10"/>
      <color rgb="FF444649"/>
      <name val="Calibri"/>
    </font>
    <font>
      <b/>
      <sz val="10"/>
      <color theme="1"/>
      <name val="Aptos narrow"/>
    </font>
    <font>
      <b/>
      <sz val="9"/>
      <color rgb="FF000000"/>
      <name val="Helvetica Neue"/>
    </font>
    <font>
      <b/>
      <sz val="11"/>
      <color rgb="FF000000"/>
      <name val="Aptos narrow"/>
    </font>
    <font>
      <sz val="9"/>
      <color rgb="FF000000"/>
      <name val="Calibri"/>
      <charset val="1"/>
    </font>
    <font>
      <b/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E4E2DF"/>
        <bgColor rgb="FFE4E2DF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theme="0"/>
      </patternFill>
    </fill>
    <fill>
      <patternFill patternType="solid">
        <fgColor rgb="FFC1F1C8"/>
        <bgColor rgb="FFC1F1C8"/>
      </patternFill>
    </fill>
    <fill>
      <patternFill patternType="solid">
        <fgColor rgb="FFF7F8F5"/>
        <bgColor rgb="FFF7F8F5"/>
      </patternFill>
    </fill>
    <fill>
      <patternFill patternType="solid">
        <fgColor rgb="FFFFFFFF"/>
        <bgColor rgb="FFFFFFFF"/>
      </patternFill>
    </fill>
    <fill>
      <patternFill patternType="solid">
        <fgColor rgb="FFE5F2FB"/>
        <bgColor rgb="FFE5F2FB"/>
      </patternFill>
    </fill>
    <fill>
      <patternFill patternType="solid">
        <fgColor rgb="FFE9E8E5"/>
        <bgColor rgb="FFE9E8E5"/>
      </patternFill>
    </fill>
    <fill>
      <patternFill patternType="solid">
        <fgColor rgb="FFF9F9F7"/>
        <bgColor rgb="FFF9F9F7"/>
      </patternFill>
    </fill>
    <fill>
      <patternFill patternType="solid">
        <fgColor rgb="FFB5E6A2"/>
        <bgColor rgb="FFB5E6A2"/>
      </patternFill>
    </fill>
    <fill>
      <patternFill patternType="solid">
        <fgColor rgb="FF00B050"/>
        <bgColor rgb="FF00B050"/>
      </patternFill>
    </fill>
    <fill>
      <patternFill patternType="solid">
        <fgColor rgb="FFCCCCCC"/>
        <bgColor rgb="FFCCCCCC"/>
      </patternFill>
    </fill>
    <fill>
      <patternFill patternType="solid">
        <fgColor rgb="FFCAEDFB"/>
        <bgColor rgb="FFCAEDFB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rgb="FFCBC9C7"/>
      </left>
      <right style="thin">
        <color rgb="FFCBC9C7"/>
      </right>
      <top style="thin">
        <color rgb="FFCBC9C7"/>
      </top>
      <bottom style="thin">
        <color rgb="FFCBC9C7"/>
      </bottom>
      <diagonal/>
    </border>
    <border>
      <left style="thin">
        <color rgb="FFCBC9C7"/>
      </left>
      <right/>
      <top/>
      <bottom/>
      <diagonal/>
    </border>
    <border>
      <left/>
      <right/>
      <top/>
      <bottom/>
      <diagonal/>
    </border>
    <border>
      <left/>
      <right style="thin">
        <color rgb="FF7B7F85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BC9C7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CBC9C7"/>
      </top>
      <bottom style="thin">
        <color rgb="FF000000"/>
      </bottom>
      <diagonal/>
    </border>
    <border>
      <left/>
      <right style="thin">
        <color rgb="FFCBC9C7"/>
      </right>
      <top style="thin">
        <color rgb="FFCBC9C7"/>
      </top>
      <bottom style="thin">
        <color rgb="FF000000"/>
      </bottom>
      <diagonal/>
    </border>
    <border>
      <left/>
      <right style="thin">
        <color rgb="FFCBC9C7"/>
      </right>
      <top/>
      <bottom style="thin">
        <color rgb="FFCBC9C7"/>
      </bottom>
      <diagonal/>
    </border>
    <border>
      <left/>
      <right style="thin">
        <color rgb="FF7B7F85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CBC9C7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BC9C7"/>
      </bottom>
      <diagonal/>
    </border>
    <border>
      <left/>
      <right style="thin">
        <color rgb="FFCBC9C7"/>
      </right>
      <top style="thin">
        <color rgb="FF000000"/>
      </top>
      <bottom style="thin">
        <color rgb="FFCBC9C7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/>
      <right/>
      <top style="thin">
        <color rgb="FFD5D3D1"/>
      </top>
      <bottom/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  <border>
      <left/>
      <right/>
      <top style="thin">
        <color rgb="FFCBC9C7"/>
      </top>
      <bottom/>
      <diagonal/>
    </border>
    <border>
      <left style="thin">
        <color rgb="FFCBC9C7"/>
      </left>
      <right style="thin">
        <color rgb="FF000000"/>
      </right>
      <top style="thin">
        <color rgb="FF000000"/>
      </top>
      <bottom style="thin">
        <color rgb="FFCBC9C7"/>
      </bottom>
      <diagonal/>
    </border>
    <border>
      <left style="thin">
        <color rgb="FF000000"/>
      </left>
      <right style="thin">
        <color rgb="FFCBC9C7"/>
      </right>
      <top style="thin">
        <color rgb="FFCBC9C7"/>
      </top>
      <bottom style="thin">
        <color rgb="FFCBC9C7"/>
      </bottom>
      <diagonal/>
    </border>
    <border>
      <left/>
      <right style="thin">
        <color rgb="FFCBC9C7"/>
      </right>
      <top style="thin">
        <color rgb="FFCBC9C7"/>
      </top>
      <bottom style="thin">
        <color rgb="FFCBC9C7"/>
      </bottom>
      <diagonal/>
    </border>
    <border>
      <left style="thin">
        <color rgb="FFCBC9C7"/>
      </left>
      <right/>
      <top style="thin">
        <color rgb="FFCBC9C7"/>
      </top>
      <bottom style="thin">
        <color rgb="FFCBC9C7"/>
      </bottom>
      <diagonal/>
    </border>
    <border>
      <left style="thin">
        <color rgb="FFCBC9C7"/>
      </left>
      <right/>
      <top style="thin">
        <color rgb="FFCBC9C7"/>
      </top>
      <bottom/>
      <diagonal/>
    </border>
    <border>
      <left/>
      <right/>
      <top style="thin">
        <color rgb="FFCBC9C7"/>
      </top>
      <bottom style="thin">
        <color rgb="FFCBC9C7"/>
      </bottom>
      <diagonal/>
    </border>
    <border>
      <left style="thin">
        <color rgb="FFCBC9C7"/>
      </left>
      <right style="thin">
        <color rgb="FF000000"/>
      </right>
      <top/>
      <bottom/>
      <diagonal/>
    </border>
    <border>
      <left style="thin">
        <color rgb="FFCBC9C7"/>
      </left>
      <right/>
      <top/>
      <bottom style="thin">
        <color rgb="FFCBC9C7"/>
      </bottom>
      <diagonal/>
    </border>
    <border>
      <left style="thin">
        <color rgb="FFCBC9C7"/>
      </left>
      <right style="thin">
        <color rgb="FF000000"/>
      </right>
      <top style="thin">
        <color rgb="FFCBC9C7"/>
      </top>
      <bottom style="thin">
        <color rgb="FF000000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6" fontId="6" fillId="4" borderId="3" xfId="0" applyNumberFormat="1" applyFont="1" applyFill="1" applyBorder="1"/>
    <xf numFmtId="164" fontId="6" fillId="0" borderId="0" xfId="0" applyNumberFormat="1" applyFont="1"/>
    <xf numFmtId="165" fontId="6" fillId="0" borderId="0" xfId="0" applyNumberFormat="1" applyFont="1"/>
    <xf numFmtId="6" fontId="6" fillId="0" borderId="0" xfId="0" applyNumberFormat="1" applyFont="1"/>
    <xf numFmtId="165" fontId="5" fillId="0" borderId="0" xfId="0" applyNumberFormat="1" applyFont="1"/>
    <xf numFmtId="164" fontId="5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10" fillId="0" borderId="9" xfId="0" applyFont="1" applyBorder="1"/>
    <xf numFmtId="0" fontId="10" fillId="0" borderId="9" xfId="0" applyFont="1" applyBorder="1" applyAlignment="1">
      <alignment horizontal="right"/>
    </xf>
    <xf numFmtId="166" fontId="10" fillId="0" borderId="9" xfId="0" applyNumberFormat="1" applyFont="1" applyBorder="1" applyAlignment="1">
      <alignment horizontal="right"/>
    </xf>
    <xf numFmtId="0" fontId="11" fillId="0" borderId="10" xfId="0" applyFont="1" applyBorder="1"/>
    <xf numFmtId="166" fontId="12" fillId="0" borderId="9" xfId="0" applyNumberFormat="1" applyFont="1" applyBorder="1" applyAlignment="1">
      <alignment horizontal="right"/>
    </xf>
    <xf numFmtId="0" fontId="2" fillId="8" borderId="9" xfId="0" applyFont="1" applyFill="1" applyBorder="1" applyAlignment="1">
      <alignment horizontal="right"/>
    </xf>
    <xf numFmtId="0" fontId="9" fillId="8" borderId="9" xfId="0" applyFont="1" applyFill="1" applyBorder="1"/>
    <xf numFmtId="165" fontId="11" fillId="5" borderId="9" xfId="0" applyNumberFormat="1" applyFont="1" applyFill="1" applyBorder="1" applyAlignment="1">
      <alignment horizontal="right"/>
    </xf>
    <xf numFmtId="0" fontId="11" fillId="5" borderId="9" xfId="0" applyFont="1" applyFill="1" applyBorder="1" applyAlignment="1">
      <alignment horizontal="right"/>
    </xf>
    <xf numFmtId="0" fontId="9" fillId="7" borderId="0" xfId="0" applyFont="1" applyFill="1"/>
    <xf numFmtId="0" fontId="13" fillId="9" borderId="15" xfId="0" applyFont="1" applyFill="1" applyBorder="1"/>
    <xf numFmtId="0" fontId="13" fillId="9" borderId="17" xfId="0" applyFont="1" applyFill="1" applyBorder="1"/>
    <xf numFmtId="0" fontId="9" fillId="7" borderId="18" xfId="0" applyFont="1" applyFill="1" applyBorder="1"/>
    <xf numFmtId="0" fontId="9" fillId="10" borderId="19" xfId="0" applyFont="1" applyFill="1" applyBorder="1"/>
    <xf numFmtId="0" fontId="14" fillId="0" borderId="21" xfId="0" applyFont="1" applyBorder="1" applyAlignment="1">
      <alignment horizontal="right"/>
    </xf>
    <xf numFmtId="0" fontId="14" fillId="7" borderId="21" xfId="0" applyFont="1" applyFill="1" applyBorder="1"/>
    <xf numFmtId="165" fontId="14" fillId="7" borderId="21" xfId="0" applyNumberFormat="1" applyFont="1" applyFill="1" applyBorder="1" applyAlignment="1">
      <alignment horizontal="right"/>
    </xf>
    <xf numFmtId="166" fontId="14" fillId="7" borderId="21" xfId="0" applyNumberFormat="1" applyFont="1" applyFill="1" applyBorder="1" applyAlignment="1">
      <alignment horizontal="right"/>
    </xf>
    <xf numFmtId="0" fontId="14" fillId="7" borderId="21" xfId="0" applyFont="1" applyFill="1" applyBorder="1" applyAlignment="1">
      <alignment horizontal="right"/>
    </xf>
    <xf numFmtId="0" fontId="9" fillId="10" borderId="22" xfId="0" applyFont="1" applyFill="1" applyBorder="1"/>
    <xf numFmtId="0" fontId="15" fillId="11" borderId="0" xfId="0" applyFont="1" applyFill="1"/>
    <xf numFmtId="0" fontId="15" fillId="11" borderId="19" xfId="0" applyFont="1" applyFill="1" applyBorder="1"/>
    <xf numFmtId="0" fontId="16" fillId="11" borderId="22" xfId="0" applyFont="1" applyFill="1" applyBorder="1"/>
    <xf numFmtId="0" fontId="16" fillId="11" borderId="21" xfId="0" applyFont="1" applyFill="1" applyBorder="1"/>
    <xf numFmtId="165" fontId="16" fillId="11" borderId="21" xfId="0" applyNumberFormat="1" applyFont="1" applyFill="1" applyBorder="1" applyAlignment="1">
      <alignment horizontal="right"/>
    </xf>
    <xf numFmtId="166" fontId="16" fillId="11" borderId="21" xfId="0" applyNumberFormat="1" applyFont="1" applyFill="1" applyBorder="1" applyAlignment="1">
      <alignment horizontal="right"/>
    </xf>
    <xf numFmtId="0" fontId="16" fillId="11" borderId="21" xfId="0" applyFont="1" applyFill="1" applyBorder="1" applyAlignment="1">
      <alignment horizontal="right"/>
    </xf>
    <xf numFmtId="0" fontId="15" fillId="11" borderId="18" xfId="0" applyFont="1" applyFill="1" applyBorder="1"/>
    <xf numFmtId="0" fontId="15" fillId="11" borderId="22" xfId="0" applyFont="1" applyFill="1" applyBorder="1"/>
    <xf numFmtId="166" fontId="17" fillId="7" borderId="21" xfId="0" applyNumberFormat="1" applyFont="1" applyFill="1" applyBorder="1" applyAlignment="1">
      <alignment horizontal="right"/>
    </xf>
    <xf numFmtId="0" fontId="9" fillId="0" borderId="19" xfId="0" applyFont="1" applyBorder="1"/>
    <xf numFmtId="0" fontId="9" fillId="0" borderId="22" xfId="0" applyFont="1" applyBorder="1"/>
    <xf numFmtId="0" fontId="14" fillId="0" borderId="21" xfId="0" applyFont="1" applyBorder="1"/>
    <xf numFmtId="165" fontId="14" fillId="0" borderId="21" xfId="0" applyNumberFormat="1" applyFont="1" applyBorder="1" applyAlignment="1">
      <alignment horizontal="right"/>
    </xf>
    <xf numFmtId="166" fontId="14" fillId="0" borderId="21" xfId="0" applyNumberFormat="1" applyFont="1" applyBorder="1" applyAlignment="1">
      <alignment horizontal="right"/>
    </xf>
    <xf numFmtId="0" fontId="9" fillId="0" borderId="18" xfId="0" applyFont="1" applyBorder="1"/>
    <xf numFmtId="0" fontId="14" fillId="7" borderId="15" xfId="0" applyFont="1" applyFill="1" applyBorder="1" applyAlignment="1">
      <alignment horizontal="right"/>
    </xf>
    <xf numFmtId="0" fontId="14" fillId="7" borderId="15" xfId="0" applyFont="1" applyFill="1" applyBorder="1"/>
    <xf numFmtId="0" fontId="14" fillId="7" borderId="15" xfId="0" applyFont="1" applyFill="1" applyBorder="1" applyAlignment="1">
      <alignment horizontal="left"/>
    </xf>
    <xf numFmtId="165" fontId="14" fillId="7" borderId="15" xfId="0" applyNumberFormat="1" applyFont="1" applyFill="1" applyBorder="1" applyAlignment="1">
      <alignment horizontal="right"/>
    </xf>
    <xf numFmtId="166" fontId="14" fillId="7" borderId="15" xfId="0" applyNumberFormat="1" applyFont="1" applyFill="1" applyBorder="1" applyAlignment="1">
      <alignment horizontal="right"/>
    </xf>
    <xf numFmtId="0" fontId="15" fillId="11" borderId="25" xfId="0" applyFont="1" applyFill="1" applyBorder="1"/>
    <xf numFmtId="0" fontId="16" fillId="11" borderId="24" xfId="0" applyFont="1" applyFill="1" applyBorder="1" applyAlignment="1">
      <alignment horizontal="left"/>
    </xf>
    <xf numFmtId="0" fontId="16" fillId="11" borderId="15" xfId="0" applyFont="1" applyFill="1" applyBorder="1" applyAlignment="1">
      <alignment horizontal="right"/>
    </xf>
    <xf numFmtId="0" fontId="16" fillId="11" borderId="15" xfId="0" applyFont="1" applyFill="1" applyBorder="1" applyAlignment="1">
      <alignment horizontal="left"/>
    </xf>
    <xf numFmtId="165" fontId="16" fillId="11" borderId="15" xfId="0" applyNumberFormat="1" applyFont="1" applyFill="1" applyBorder="1" applyAlignment="1">
      <alignment horizontal="right"/>
    </xf>
    <xf numFmtId="166" fontId="16" fillId="11" borderId="15" xfId="0" applyNumberFormat="1" applyFont="1" applyFill="1" applyBorder="1" applyAlignment="1">
      <alignment horizontal="right"/>
    </xf>
    <xf numFmtId="0" fontId="16" fillId="11" borderId="26" xfId="0" applyFont="1" applyFill="1" applyBorder="1" applyAlignment="1">
      <alignment horizontal="left"/>
    </xf>
    <xf numFmtId="0" fontId="9" fillId="12" borderId="0" xfId="0" applyFont="1" applyFill="1"/>
    <xf numFmtId="0" fontId="18" fillId="12" borderId="27" xfId="0" applyFont="1" applyFill="1" applyBorder="1"/>
    <xf numFmtId="0" fontId="19" fillId="12" borderId="21" xfId="0" applyFont="1" applyFill="1" applyBorder="1"/>
    <xf numFmtId="0" fontId="16" fillId="12" borderId="21" xfId="0" applyFont="1" applyFill="1" applyBorder="1" applyAlignment="1">
      <alignment horizontal="right"/>
    </xf>
    <xf numFmtId="0" fontId="16" fillId="12" borderId="21" xfId="0" applyFont="1" applyFill="1" applyBorder="1"/>
    <xf numFmtId="165" fontId="16" fillId="12" borderId="21" xfId="0" applyNumberFormat="1" applyFont="1" applyFill="1" applyBorder="1" applyAlignment="1">
      <alignment horizontal="right"/>
    </xf>
    <xf numFmtId="166" fontId="16" fillId="12" borderId="21" xfId="0" applyNumberFormat="1" applyFont="1" applyFill="1" applyBorder="1" applyAlignment="1">
      <alignment horizontal="right"/>
    </xf>
    <xf numFmtId="0" fontId="9" fillId="12" borderId="18" xfId="0" applyFont="1" applyFill="1" applyBorder="1"/>
    <xf numFmtId="0" fontId="19" fillId="7" borderId="0" xfId="0" applyFont="1" applyFill="1"/>
    <xf numFmtId="0" fontId="19" fillId="7" borderId="18" xfId="0" applyFont="1" applyFill="1" applyBorder="1"/>
    <xf numFmtId="0" fontId="19" fillId="7" borderId="28" xfId="0" applyFont="1" applyFill="1" applyBorder="1"/>
    <xf numFmtId="0" fontId="19" fillId="7" borderId="29" xfId="0" applyFont="1" applyFill="1" applyBorder="1"/>
    <xf numFmtId="0" fontId="2" fillId="2" borderId="30" xfId="0" applyFont="1" applyFill="1" applyBorder="1"/>
    <xf numFmtId="0" fontId="14" fillId="7" borderId="15" xfId="0" applyFont="1" applyFill="1" applyBorder="1" applyAlignment="1">
      <alignment horizontal="center"/>
    </xf>
    <xf numFmtId="9" fontId="14" fillId="7" borderId="15" xfId="0" applyNumberFormat="1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0" fontId="14" fillId="10" borderId="15" xfId="0" applyFont="1" applyFill="1" applyBorder="1" applyAlignment="1">
      <alignment horizontal="left"/>
    </xf>
    <xf numFmtId="0" fontId="14" fillId="10" borderId="15" xfId="0" applyFont="1" applyFill="1" applyBorder="1" applyAlignment="1">
      <alignment horizontal="center"/>
    </xf>
    <xf numFmtId="0" fontId="14" fillId="10" borderId="15" xfId="0" applyFont="1" applyFill="1" applyBorder="1" applyAlignment="1">
      <alignment horizontal="right"/>
    </xf>
    <xf numFmtId="165" fontId="14" fillId="10" borderId="15" xfId="0" applyNumberFormat="1" applyFont="1" applyFill="1" applyBorder="1" applyAlignment="1">
      <alignment horizontal="right"/>
    </xf>
    <xf numFmtId="166" fontId="14" fillId="10" borderId="15" xfId="0" applyNumberFormat="1" applyFont="1" applyFill="1" applyBorder="1" applyAlignment="1">
      <alignment horizontal="right"/>
    </xf>
    <xf numFmtId="9" fontId="6" fillId="10" borderId="15" xfId="0" applyNumberFormat="1" applyFont="1" applyFill="1" applyBorder="1"/>
    <xf numFmtId="166" fontId="6" fillId="10" borderId="15" xfId="0" applyNumberFormat="1" applyFont="1" applyFill="1" applyBorder="1"/>
    <xf numFmtId="0" fontId="6" fillId="10" borderId="15" xfId="0" applyFont="1" applyFill="1" applyBorder="1"/>
    <xf numFmtId="0" fontId="16" fillId="13" borderId="15" xfId="0" applyFont="1" applyFill="1" applyBorder="1" applyAlignment="1">
      <alignment horizontal="left"/>
    </xf>
    <xf numFmtId="0" fontId="16" fillId="13" borderId="15" xfId="0" applyFont="1" applyFill="1" applyBorder="1" applyAlignment="1">
      <alignment horizontal="center"/>
    </xf>
    <xf numFmtId="0" fontId="16" fillId="13" borderId="15" xfId="0" applyFont="1" applyFill="1" applyBorder="1" applyAlignment="1">
      <alignment horizontal="right"/>
    </xf>
    <xf numFmtId="165" fontId="16" fillId="13" borderId="15" xfId="0" applyNumberFormat="1" applyFont="1" applyFill="1" applyBorder="1" applyAlignment="1">
      <alignment horizontal="right"/>
    </xf>
    <xf numFmtId="166" fontId="16" fillId="13" borderId="15" xfId="0" applyNumberFormat="1" applyFont="1" applyFill="1" applyBorder="1" applyAlignment="1">
      <alignment horizontal="right"/>
    </xf>
    <xf numFmtId="9" fontId="16" fillId="13" borderId="15" xfId="0" applyNumberFormat="1" applyFont="1" applyFill="1" applyBorder="1" applyAlignment="1">
      <alignment horizontal="right"/>
    </xf>
    <xf numFmtId="0" fontId="20" fillId="0" borderId="0" xfId="0" applyFont="1"/>
    <xf numFmtId="0" fontId="5" fillId="0" borderId="0" xfId="0" applyFont="1" applyAlignment="1">
      <alignment horizontal="right"/>
    </xf>
    <xf numFmtId="0" fontId="21" fillId="10" borderId="15" xfId="0" applyFont="1" applyFill="1" applyBorder="1"/>
    <xf numFmtId="0" fontId="21" fillId="10" borderId="15" xfId="0" applyFont="1" applyFill="1" applyBorder="1" applyAlignment="1">
      <alignment horizontal="center"/>
    </xf>
    <xf numFmtId="165" fontId="6" fillId="10" borderId="15" xfId="0" applyNumberFormat="1" applyFont="1" applyFill="1" applyBorder="1"/>
    <xf numFmtId="0" fontId="21" fillId="10" borderId="19" xfId="0" applyFont="1" applyFill="1" applyBorder="1"/>
    <xf numFmtId="0" fontId="5" fillId="10" borderId="15" xfId="0" applyFont="1" applyFill="1" applyBorder="1"/>
    <xf numFmtId="9" fontId="6" fillId="10" borderId="0" xfId="0" applyNumberFormat="1" applyFont="1" applyFill="1"/>
    <xf numFmtId="166" fontId="6" fillId="10" borderId="0" xfId="0" applyNumberFormat="1" applyFont="1" applyFill="1"/>
    <xf numFmtId="0" fontId="6" fillId="10" borderId="0" xfId="0" applyFont="1" applyFill="1"/>
    <xf numFmtId="0" fontId="19" fillId="10" borderId="24" xfId="0" applyFont="1" applyFill="1" applyBorder="1"/>
    <xf numFmtId="0" fontId="14" fillId="10" borderId="24" xfId="0" applyFont="1" applyFill="1" applyBorder="1" applyAlignment="1">
      <alignment horizontal="left"/>
    </xf>
    <xf numFmtId="0" fontId="13" fillId="14" borderId="24" xfId="0" applyFont="1" applyFill="1" applyBorder="1"/>
    <xf numFmtId="0" fontId="16" fillId="14" borderId="15" xfId="0" applyFont="1" applyFill="1" applyBorder="1" applyAlignment="1">
      <alignment horizontal="center"/>
    </xf>
    <xf numFmtId="0" fontId="23" fillId="14" borderId="0" xfId="0" applyFont="1" applyFill="1"/>
    <xf numFmtId="0" fontId="20" fillId="14" borderId="0" xfId="0" applyFont="1" applyFill="1"/>
    <xf numFmtId="2" fontId="20" fillId="14" borderId="0" xfId="0" applyNumberFormat="1" applyFont="1" applyFill="1"/>
    <xf numFmtId="0" fontId="22" fillId="14" borderId="0" xfId="0" applyFont="1" applyFill="1" applyAlignment="1">
      <alignment horizontal="right"/>
    </xf>
    <xf numFmtId="165" fontId="20" fillId="14" borderId="0" xfId="0" applyNumberFormat="1" applyFont="1" applyFill="1"/>
    <xf numFmtId="166" fontId="20" fillId="14" borderId="0" xfId="0" applyNumberFormat="1" applyFont="1" applyFill="1"/>
    <xf numFmtId="9" fontId="20" fillId="14" borderId="0" xfId="0" applyNumberFormat="1" applyFont="1" applyFill="1"/>
    <xf numFmtId="0" fontId="22" fillId="0" borderId="0" xfId="0" applyFont="1" applyAlignment="1">
      <alignment wrapText="1"/>
    </xf>
    <xf numFmtId="0" fontId="22" fillId="3" borderId="3" xfId="0" applyFont="1" applyFill="1" applyBorder="1" applyAlignment="1">
      <alignment wrapText="1"/>
    </xf>
    <xf numFmtId="0" fontId="24" fillId="2" borderId="1" xfId="0" applyFont="1" applyFill="1" applyBorder="1" applyAlignment="1">
      <alignment wrapText="1"/>
    </xf>
    <xf numFmtId="0" fontId="25" fillId="0" borderId="0" xfId="0" applyFont="1" applyAlignment="1">
      <alignment wrapText="1"/>
    </xf>
    <xf numFmtId="0" fontId="4" fillId="6" borderId="31" xfId="0" applyFont="1" applyFill="1" applyBorder="1" applyAlignment="1">
      <alignment wrapText="1"/>
    </xf>
    <xf numFmtId="0" fontId="2" fillId="6" borderId="32" xfId="0" applyFont="1" applyFill="1" applyBorder="1"/>
    <xf numFmtId="0" fontId="2" fillId="6" borderId="33" xfId="0" applyFont="1" applyFill="1" applyBorder="1"/>
    <xf numFmtId="0" fontId="10" fillId="6" borderId="1" xfId="0" applyFont="1" applyFill="1" applyBorder="1"/>
    <xf numFmtId="0" fontId="4" fillId="6" borderId="1" xfId="0" applyFont="1" applyFill="1" applyBorder="1" applyAlignment="1">
      <alignment wrapText="1"/>
    </xf>
    <xf numFmtId="0" fontId="10" fillId="6" borderId="34" xfId="0" applyFont="1" applyFill="1" applyBorder="1"/>
    <xf numFmtId="6" fontId="10" fillId="6" borderId="34" xfId="0" applyNumberFormat="1" applyFont="1" applyFill="1" applyBorder="1"/>
    <xf numFmtId="6" fontId="10" fillId="0" borderId="1" xfId="0" applyNumberFormat="1" applyFont="1" applyBorder="1"/>
    <xf numFmtId="10" fontId="10" fillId="0" borderId="1" xfId="0" applyNumberFormat="1" applyFont="1" applyBorder="1"/>
    <xf numFmtId="9" fontId="10" fillId="0" borderId="1" xfId="0" applyNumberFormat="1" applyFont="1" applyBorder="1"/>
    <xf numFmtId="0" fontId="10" fillId="0" borderId="1" xfId="0" applyFont="1" applyBorder="1"/>
    <xf numFmtId="0" fontId="10" fillId="6" borderId="33" xfId="0" applyFont="1" applyFill="1" applyBorder="1"/>
    <xf numFmtId="0" fontId="4" fillId="0" borderId="1" xfId="0" applyFont="1" applyBorder="1" applyAlignment="1">
      <alignment wrapText="1"/>
    </xf>
    <xf numFmtId="6" fontId="2" fillId="6" borderId="33" xfId="0" applyNumberFormat="1" applyFont="1" applyFill="1" applyBorder="1"/>
    <xf numFmtId="0" fontId="10" fillId="6" borderId="35" xfId="0" applyFont="1" applyFill="1" applyBorder="1"/>
    <xf numFmtId="0" fontId="10" fillId="6" borderId="36" xfId="0" applyFont="1" applyFill="1" applyBorder="1"/>
    <xf numFmtId="6" fontId="10" fillId="6" borderId="36" xfId="0" applyNumberFormat="1" applyFont="1" applyFill="1" applyBorder="1"/>
    <xf numFmtId="3" fontId="10" fillId="0" borderId="1" xfId="0" applyNumberFormat="1" applyFont="1" applyBorder="1"/>
    <xf numFmtId="0" fontId="10" fillId="4" borderId="34" xfId="0" applyFont="1" applyFill="1" applyBorder="1"/>
    <xf numFmtId="6" fontId="10" fillId="4" borderId="34" xfId="0" applyNumberFormat="1" applyFont="1" applyFill="1" applyBorder="1"/>
    <xf numFmtId="6" fontId="4" fillId="0" borderId="1" xfId="0" applyNumberFormat="1" applyFont="1" applyBorder="1" applyAlignment="1">
      <alignment wrapText="1"/>
    </xf>
    <xf numFmtId="0" fontId="26" fillId="6" borderId="31" xfId="0" applyFont="1" applyFill="1" applyBorder="1" applyAlignment="1">
      <alignment wrapText="1"/>
    </xf>
    <xf numFmtId="0" fontId="2" fillId="6" borderId="37" xfId="0" applyFont="1" applyFill="1" applyBorder="1"/>
    <xf numFmtId="6" fontId="10" fillId="6" borderId="1" xfId="0" applyNumberFormat="1" applyFont="1" applyFill="1" applyBorder="1"/>
    <xf numFmtId="10" fontId="10" fillId="6" borderId="1" xfId="0" applyNumberFormat="1" applyFont="1" applyFill="1" applyBorder="1"/>
    <xf numFmtId="9" fontId="10" fillId="6" borderId="1" xfId="0" applyNumberFormat="1" applyFont="1" applyFill="1" applyBorder="1"/>
    <xf numFmtId="3" fontId="4" fillId="0" borderId="1" xfId="0" applyNumberFormat="1" applyFont="1" applyBorder="1" applyAlignment="1">
      <alignment wrapText="1"/>
    </xf>
    <xf numFmtId="6" fontId="10" fillId="6" borderId="33" xfId="0" applyNumberFormat="1" applyFont="1" applyFill="1" applyBorder="1"/>
    <xf numFmtId="0" fontId="10" fillId="6" borderId="38" xfId="0" applyFont="1" applyFill="1" applyBorder="1"/>
    <xf numFmtId="0" fontId="2" fillId="8" borderId="39" xfId="0" applyFont="1" applyFill="1" applyBorder="1"/>
    <xf numFmtId="0" fontId="2" fillId="8" borderId="32" xfId="0" applyFont="1" applyFill="1" applyBorder="1"/>
    <xf numFmtId="0" fontId="2" fillId="8" borderId="33" xfId="0" applyFont="1" applyFill="1" applyBorder="1"/>
    <xf numFmtId="6" fontId="10" fillId="8" borderId="1" xfId="0" applyNumberFormat="1" applyFont="1" applyFill="1" applyBorder="1"/>
    <xf numFmtId="10" fontId="10" fillId="8" borderId="1" xfId="0" applyNumberFormat="1" applyFont="1" applyFill="1" applyBorder="1"/>
    <xf numFmtId="9" fontId="10" fillId="8" borderId="1" xfId="0" applyNumberFormat="1" applyFont="1" applyFill="1" applyBorder="1"/>
    <xf numFmtId="0" fontId="10" fillId="8" borderId="1" xfId="0" applyFont="1" applyFill="1" applyBorder="1"/>
    <xf numFmtId="0" fontId="4" fillId="8" borderId="3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27" fillId="0" borderId="0" xfId="0" applyFont="1"/>
    <xf numFmtId="3" fontId="6" fillId="0" borderId="0" xfId="0" applyNumberFormat="1" applyFont="1"/>
    <xf numFmtId="0" fontId="10" fillId="6" borderId="3" xfId="0" applyFont="1" applyFill="1" applyBorder="1"/>
    <xf numFmtId="6" fontId="10" fillId="6" borderId="3" xfId="0" applyNumberFormat="1" applyFont="1" applyFill="1" applyBorder="1"/>
    <xf numFmtId="0" fontId="5" fillId="0" borderId="0" xfId="0" applyFont="1"/>
    <xf numFmtId="4" fontId="6" fillId="0" borderId="0" xfId="0" applyNumberFormat="1" applyFont="1"/>
    <xf numFmtId="0" fontId="2" fillId="2" borderId="33" xfId="0" applyFont="1" applyFill="1" applyBorder="1"/>
    <xf numFmtId="0" fontId="3" fillId="0" borderId="16" xfId="0" applyFont="1" applyBorder="1"/>
    <xf numFmtId="0" fontId="3" fillId="0" borderId="20" xfId="0" applyFont="1" applyBorder="1"/>
    <xf numFmtId="0" fontId="3" fillId="0" borderId="23" xfId="0" applyFont="1" applyBorder="1"/>
    <xf numFmtId="0" fontId="3" fillId="0" borderId="24" xfId="0" applyFont="1" applyBorder="1"/>
    <xf numFmtId="0" fontId="10" fillId="15" borderId="9" xfId="0" applyFont="1" applyFill="1" applyBorder="1"/>
    <xf numFmtId="0" fontId="10" fillId="15" borderId="9" xfId="0" applyFont="1" applyFill="1" applyBorder="1" applyAlignment="1">
      <alignment horizontal="right"/>
    </xf>
    <xf numFmtId="166" fontId="10" fillId="15" borderId="9" xfId="0" applyNumberFormat="1" applyFont="1" applyFill="1" applyBorder="1" applyAlignment="1">
      <alignment horizontal="right"/>
    </xf>
    <xf numFmtId="0" fontId="11" fillId="15" borderId="10" xfId="0" applyFont="1" applyFill="1" applyBorder="1"/>
    <xf numFmtId="0" fontId="9" fillId="15" borderId="0" xfId="0" applyFont="1" applyFill="1"/>
    <xf numFmtId="0" fontId="0" fillId="15" borderId="0" xfId="0" applyFill="1"/>
    <xf numFmtId="166" fontId="12" fillId="15" borderId="9" xfId="0" applyNumberFormat="1" applyFont="1" applyFill="1" applyBorder="1" applyAlignment="1">
      <alignment horizontal="right"/>
    </xf>
    <xf numFmtId="165" fontId="10" fillId="15" borderId="9" xfId="0" applyNumberFormat="1" applyFont="1" applyFill="1" applyBorder="1" applyAlignment="1">
      <alignment horizontal="right"/>
    </xf>
    <xf numFmtId="0" fontId="28" fillId="0" borderId="0" xfId="0" applyFont="1"/>
    <xf numFmtId="0" fontId="28" fillId="15" borderId="0" xfId="0" applyFont="1" applyFill="1"/>
    <xf numFmtId="0" fontId="3" fillId="0" borderId="17" xfId="0" applyFont="1" applyBorder="1"/>
    <xf numFmtId="0" fontId="3" fillId="0" borderId="22" xfId="0" applyFont="1" applyBorder="1"/>
    <xf numFmtId="0" fontId="2" fillId="16" borderId="33" xfId="0" applyFont="1" applyFill="1" applyBorder="1"/>
    <xf numFmtId="166" fontId="14" fillId="16" borderId="15" xfId="0" applyNumberFormat="1" applyFont="1" applyFill="1" applyBorder="1" applyAlignment="1">
      <alignment horizontal="right"/>
    </xf>
    <xf numFmtId="0" fontId="14" fillId="16" borderId="15" xfId="0" applyFont="1" applyFill="1" applyBorder="1" applyAlignment="1">
      <alignment horizontal="right"/>
    </xf>
    <xf numFmtId="166" fontId="16" fillId="16" borderId="15" xfId="0" applyNumberFormat="1" applyFont="1" applyFill="1" applyBorder="1" applyAlignment="1">
      <alignment horizontal="right"/>
    </xf>
    <xf numFmtId="165" fontId="14" fillId="16" borderId="15" xfId="0" applyNumberFormat="1" applyFont="1" applyFill="1" applyBorder="1" applyAlignment="1">
      <alignment horizontal="right"/>
    </xf>
    <xf numFmtId="0" fontId="6" fillId="16" borderId="15" xfId="0" applyFont="1" applyFill="1" applyBorder="1"/>
    <xf numFmtId="0" fontId="0" fillId="16" borderId="0" xfId="0" applyFill="1"/>
    <xf numFmtId="0" fontId="20" fillId="16" borderId="0" xfId="0" applyFont="1" applyFill="1"/>
    <xf numFmtId="0" fontId="16" fillId="16" borderId="15" xfId="0" applyFont="1" applyFill="1" applyBorder="1" applyAlignment="1">
      <alignment horizontal="right"/>
    </xf>
    <xf numFmtId="165" fontId="6" fillId="16" borderId="15" xfId="0" applyNumberFormat="1" applyFont="1" applyFill="1" applyBorder="1"/>
    <xf numFmtId="166" fontId="6" fillId="16" borderId="15" xfId="0" applyNumberFormat="1" applyFont="1" applyFill="1" applyBorder="1"/>
    <xf numFmtId="166" fontId="20" fillId="16" borderId="0" xfId="0" applyNumberFormat="1" applyFont="1" applyFill="1"/>
    <xf numFmtId="0" fontId="13" fillId="16" borderId="17" xfId="0" applyFont="1" applyFill="1" applyBorder="1"/>
    <xf numFmtId="166" fontId="14" fillId="16" borderId="21" xfId="0" applyNumberFormat="1" applyFont="1" applyFill="1" applyBorder="1" applyAlignment="1">
      <alignment horizontal="right"/>
    </xf>
    <xf numFmtId="166" fontId="16" fillId="16" borderId="21" xfId="0" applyNumberFormat="1" applyFont="1" applyFill="1" applyBorder="1" applyAlignment="1">
      <alignment horizontal="right"/>
    </xf>
    <xf numFmtId="166" fontId="17" fillId="16" borderId="21" xfId="0" applyNumberFormat="1" applyFont="1" applyFill="1" applyBorder="1" applyAlignment="1">
      <alignment horizontal="right"/>
    </xf>
    <xf numFmtId="0" fontId="19" fillId="16" borderId="0" xfId="0" applyFont="1" applyFill="1"/>
    <xf numFmtId="0" fontId="19" fillId="16" borderId="28" xfId="0" applyFont="1" applyFill="1" applyBorder="1"/>
    <xf numFmtId="0" fontId="14" fillId="16" borderId="21" xfId="0" applyFont="1" applyFill="1" applyBorder="1" applyAlignment="1">
      <alignment horizontal="right"/>
    </xf>
    <xf numFmtId="0" fontId="16" fillId="16" borderId="21" xfId="0" applyFont="1" applyFill="1" applyBorder="1" applyAlignment="1">
      <alignment horizontal="right"/>
    </xf>
    <xf numFmtId="0" fontId="9" fillId="16" borderId="5" xfId="0" applyFont="1" applyFill="1" applyBorder="1"/>
    <xf numFmtId="166" fontId="10" fillId="16" borderId="9" xfId="0" applyNumberFormat="1" applyFont="1" applyFill="1" applyBorder="1" applyAlignment="1">
      <alignment horizontal="right"/>
    </xf>
    <xf numFmtId="166" fontId="12" fillId="16" borderId="9" xfId="0" applyNumberFormat="1" applyFont="1" applyFill="1" applyBorder="1" applyAlignment="1">
      <alignment horizontal="right"/>
    </xf>
    <xf numFmtId="165" fontId="11" fillId="16" borderId="9" xfId="0" applyNumberFormat="1" applyFont="1" applyFill="1" applyBorder="1" applyAlignment="1">
      <alignment horizontal="right"/>
    </xf>
    <xf numFmtId="0" fontId="9" fillId="16" borderId="0" xfId="0" applyFont="1" applyFill="1"/>
    <xf numFmtId="0" fontId="10" fillId="16" borderId="9" xfId="0" applyFont="1" applyFill="1" applyBorder="1" applyAlignment="1">
      <alignment horizontal="right"/>
    </xf>
    <xf numFmtId="0" fontId="12" fillId="16" borderId="9" xfId="0" applyFont="1" applyFill="1" applyBorder="1" applyAlignment="1">
      <alignment horizontal="right"/>
    </xf>
    <xf numFmtId="0" fontId="11" fillId="16" borderId="9" xfId="0" applyFont="1" applyFill="1" applyBorder="1" applyAlignment="1">
      <alignment horizontal="right"/>
    </xf>
    <xf numFmtId="165" fontId="12" fillId="16" borderId="9" xfId="0" applyNumberFormat="1" applyFont="1" applyFill="1" applyBorder="1" applyAlignment="1">
      <alignment horizontal="right"/>
    </xf>
    <xf numFmtId="0" fontId="11" fillId="16" borderId="9" xfId="0" applyFont="1" applyFill="1" applyBorder="1"/>
    <xf numFmtId="0" fontId="2" fillId="2" borderId="34" xfId="0" applyFont="1" applyFill="1" applyBorder="1" applyAlignment="1">
      <alignment wrapText="1"/>
    </xf>
    <xf numFmtId="0" fontId="3" fillId="0" borderId="33" xfId="0" applyFont="1" applyBorder="1"/>
    <xf numFmtId="0" fontId="11" fillId="6" borderId="13" xfId="0" applyFont="1" applyFill="1" applyBorder="1"/>
    <xf numFmtId="0" fontId="3" fillId="0" borderId="14" xfId="0" applyFont="1" applyBorder="1"/>
    <xf numFmtId="0" fontId="10" fillId="15" borderId="7" xfId="0" applyFont="1" applyFill="1" applyBorder="1" applyAlignment="1">
      <alignment horizontal="right"/>
    </xf>
    <xf numFmtId="0" fontId="3" fillId="15" borderId="8" xfId="0" applyFont="1" applyFill="1" applyBorder="1"/>
    <xf numFmtId="0" fontId="11" fillId="15" borderId="13" xfId="0" applyFont="1" applyFill="1" applyBorder="1"/>
    <xf numFmtId="0" fontId="3" fillId="15" borderId="14" xfId="0" applyFont="1" applyFill="1" applyBorder="1"/>
    <xf numFmtId="0" fontId="11" fillId="6" borderId="11" xfId="0" applyFont="1" applyFill="1" applyBorder="1"/>
    <xf numFmtId="0" fontId="3" fillId="0" borderId="12" xfId="0" applyFont="1" applyBorder="1"/>
    <xf numFmtId="0" fontId="2" fillId="2" borderId="36" xfId="0" applyFont="1" applyFill="1" applyBorder="1"/>
    <xf numFmtId="0" fontId="11" fillId="15" borderId="11" xfId="0" applyFont="1" applyFill="1" applyBorder="1"/>
    <xf numFmtId="0" fontId="3" fillId="15" borderId="12" xfId="0" applyFont="1" applyFill="1" applyBorder="1"/>
    <xf numFmtId="0" fontId="10" fillId="6" borderId="7" xfId="0" applyFont="1" applyFill="1" applyBorder="1" applyAlignment="1">
      <alignment horizontal="right"/>
    </xf>
    <xf numFmtId="0" fontId="3" fillId="0" borderId="8" xfId="0" applyFont="1" applyBorder="1"/>
    <xf numFmtId="0" fontId="11" fillId="15" borderId="11" xfId="0" applyFont="1" applyFill="1" applyBorder="1" applyAlignment="1">
      <alignment horizontal="right"/>
    </xf>
    <xf numFmtId="0" fontId="10" fillId="6" borderId="36" xfId="0" applyFont="1" applyFill="1" applyBorder="1" applyAlignment="1">
      <alignment horizontal="right"/>
    </xf>
    <xf numFmtId="0" fontId="10" fillId="6" borderId="34" xfId="0" applyFont="1" applyFill="1" applyBorder="1"/>
    <xf numFmtId="0" fontId="3" fillId="0" borderId="36" xfId="0" applyFont="1" applyBorder="1"/>
    <xf numFmtId="0" fontId="10" fillId="4" borderId="34" xfId="0" applyFont="1" applyFill="1" applyBorder="1"/>
    <xf numFmtId="0" fontId="29" fillId="17" borderId="0" xfId="0" applyFont="1" applyFill="1"/>
    <xf numFmtId="0" fontId="1" fillId="0" borderId="0" xfId="0" applyFont="1"/>
    <xf numFmtId="0" fontId="1" fillId="15" borderId="0" xfId="0" applyFont="1" applyFill="1"/>
    <xf numFmtId="0" fontId="10" fillId="17" borderId="11" xfId="0" applyFont="1" applyFill="1" applyBorder="1" applyAlignment="1">
      <alignment horizontal="right"/>
    </xf>
    <xf numFmtId="0" fontId="10" fillId="17" borderId="12" xfId="0" applyFont="1" applyFill="1" applyBorder="1" applyAlignment="1">
      <alignment horizontal="right"/>
    </xf>
    <xf numFmtId="0" fontId="1" fillId="17" borderId="0" xfId="0" applyFont="1" applyFill="1"/>
    <xf numFmtId="0" fontId="1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999"/>
  <sheetViews>
    <sheetView workbookViewId="0">
      <selection activeCell="C12" sqref="C12:C16"/>
    </sheetView>
  </sheetViews>
  <sheetFormatPr defaultColWidth="12.5703125" defaultRowHeight="15" customHeight="1"/>
  <cols>
    <col min="1" max="1" width="8.85546875" customWidth="1"/>
    <col min="2" max="2" width="8.5703125" customWidth="1"/>
    <col min="3" max="3" width="13.5703125" customWidth="1"/>
    <col min="4" max="4" width="20.85546875" customWidth="1"/>
    <col min="5" max="5" width="14.5703125" customWidth="1"/>
    <col min="6" max="7" width="9.140625" customWidth="1"/>
    <col min="8" max="8" width="10.42578125" customWidth="1"/>
    <col min="9" max="9" width="9.85546875" customWidth="1"/>
    <col min="10" max="10" width="13.42578125" customWidth="1"/>
    <col min="11" max="11" width="10.140625" customWidth="1"/>
    <col min="12" max="12" width="12.140625" customWidth="1"/>
    <col min="13" max="13" width="7.42578125" customWidth="1"/>
    <col min="14" max="14" width="8.28515625" customWidth="1"/>
    <col min="15" max="15" width="11.140625" customWidth="1"/>
    <col min="16" max="16" width="11.5703125" customWidth="1"/>
    <col min="17" max="18" width="11.28515625" customWidth="1"/>
    <col min="19" max="19" width="8.5703125" customWidth="1"/>
    <col min="20" max="20" width="10.7109375" customWidth="1"/>
    <col min="21" max="23" width="8.5703125" customWidth="1"/>
    <col min="24" max="24" width="24.42578125" customWidth="1"/>
    <col min="25" max="29" width="8.5703125" customWidth="1"/>
  </cols>
  <sheetData>
    <row r="2" spans="1:24" ht="60.75">
      <c r="A2" s="1" t="s">
        <v>0</v>
      </c>
      <c r="B2" s="2" t="s">
        <v>1</v>
      </c>
      <c r="C2" s="215" t="s">
        <v>2</v>
      </c>
      <c r="D2" s="216"/>
      <c r="E2" s="2" t="s">
        <v>3</v>
      </c>
      <c r="F2" s="2" t="s">
        <v>4</v>
      </c>
      <c r="G2" s="2" t="s">
        <v>5</v>
      </c>
      <c r="H2" s="3" t="s">
        <v>6</v>
      </c>
      <c r="I2" s="3" t="s">
        <v>7</v>
      </c>
      <c r="J2" s="3" t="s">
        <v>8</v>
      </c>
      <c r="K2" s="2" t="s">
        <v>9</v>
      </c>
      <c r="L2" s="2" t="s">
        <v>10</v>
      </c>
      <c r="M2" s="4" t="s">
        <v>11</v>
      </c>
      <c r="N2" s="4" t="s">
        <v>12</v>
      </c>
      <c r="O2" s="5" t="s">
        <v>13</v>
      </c>
      <c r="P2" s="6" t="s">
        <v>14</v>
      </c>
      <c r="Q2" s="7" t="s">
        <v>15</v>
      </c>
      <c r="R2" s="7" t="s">
        <v>16</v>
      </c>
      <c r="T2" s="166" t="s">
        <v>17</v>
      </c>
      <c r="U2" s="166" t="s">
        <v>18</v>
      </c>
      <c r="V2" s="166" t="s">
        <v>19</v>
      </c>
      <c r="W2" s="166" t="s">
        <v>20</v>
      </c>
    </row>
    <row r="3" spans="1:24">
      <c r="H3" s="84"/>
      <c r="J3" s="8"/>
      <c r="L3" s="8"/>
      <c r="P3" s="9"/>
      <c r="Q3" s="9"/>
      <c r="R3" s="9"/>
    </row>
    <row r="4" spans="1:24">
      <c r="A4" s="166">
        <v>2022</v>
      </c>
      <c r="B4" s="166">
        <v>13</v>
      </c>
      <c r="C4" s="84">
        <v>88</v>
      </c>
      <c r="D4" s="84" t="s">
        <v>21</v>
      </c>
      <c r="E4" s="10">
        <v>185757</v>
      </c>
      <c r="F4" s="84">
        <v>5572</v>
      </c>
      <c r="G4" s="84">
        <v>23358</v>
      </c>
      <c r="H4" s="84">
        <v>34195</v>
      </c>
      <c r="I4" s="84">
        <v>212277</v>
      </c>
      <c r="J4" s="11">
        <v>8547</v>
      </c>
      <c r="K4" s="11">
        <v>5413</v>
      </c>
      <c r="L4" s="11">
        <v>3134</v>
      </c>
      <c r="M4" s="166">
        <v>50</v>
      </c>
      <c r="N4" s="166">
        <v>8</v>
      </c>
      <c r="O4" s="166">
        <v>58</v>
      </c>
      <c r="P4" s="9">
        <f t="shared" ref="P4:P5" si="0">J4*10</f>
        <v>85470</v>
      </c>
      <c r="Q4" s="9">
        <f t="shared" ref="Q4:Q5" si="1">J4*15</f>
        <v>128205</v>
      </c>
      <c r="R4" s="9">
        <f t="shared" ref="R4:R5" si="2">J4*20</f>
        <v>170940</v>
      </c>
      <c r="T4" s="166">
        <v>88</v>
      </c>
      <c r="W4" s="166" t="s">
        <v>22</v>
      </c>
      <c r="X4" s="166"/>
    </row>
    <row r="5" spans="1:24">
      <c r="A5" s="166">
        <v>2023</v>
      </c>
      <c r="B5" s="166">
        <v>17</v>
      </c>
      <c r="C5" s="166">
        <v>71</v>
      </c>
      <c r="D5" s="166" t="s">
        <v>23</v>
      </c>
      <c r="E5" s="12">
        <v>380039.93</v>
      </c>
      <c r="F5" s="84">
        <v>5056</v>
      </c>
      <c r="G5" s="84">
        <v>17841</v>
      </c>
      <c r="H5" s="84">
        <v>33429</v>
      </c>
      <c r="I5" s="84">
        <v>82759</v>
      </c>
      <c r="J5" s="10">
        <v>7471</v>
      </c>
      <c r="K5" s="11">
        <v>1077</v>
      </c>
      <c r="L5" s="11">
        <v>6394</v>
      </c>
      <c r="M5" s="166">
        <v>42</v>
      </c>
      <c r="N5" s="166">
        <v>17</v>
      </c>
      <c r="O5" s="166">
        <v>59</v>
      </c>
      <c r="P5" s="9">
        <f t="shared" si="0"/>
        <v>74710</v>
      </c>
      <c r="Q5" s="9">
        <f t="shared" si="1"/>
        <v>112065</v>
      </c>
      <c r="R5" s="9">
        <f t="shared" si="2"/>
        <v>149420</v>
      </c>
      <c r="T5" s="166">
        <v>71</v>
      </c>
      <c r="W5" s="166" t="s">
        <v>22</v>
      </c>
      <c r="X5" s="166"/>
    </row>
    <row r="6" spans="1:24">
      <c r="A6" s="166">
        <v>2024</v>
      </c>
      <c r="B6" s="166">
        <v>12</v>
      </c>
      <c r="C6" s="166">
        <v>37</v>
      </c>
      <c r="D6" s="166" t="s">
        <v>24</v>
      </c>
      <c r="E6" s="12">
        <v>190000</v>
      </c>
      <c r="F6" s="166">
        <v>2385</v>
      </c>
      <c r="G6" s="166">
        <v>924</v>
      </c>
      <c r="H6" s="166">
        <v>13194</v>
      </c>
      <c r="I6" s="166">
        <v>30766</v>
      </c>
      <c r="J6" s="12">
        <v>2545</v>
      </c>
      <c r="K6" s="12">
        <v>625</v>
      </c>
      <c r="L6" s="12">
        <v>1920</v>
      </c>
      <c r="M6" s="166">
        <v>32</v>
      </c>
      <c r="N6" s="166">
        <v>13</v>
      </c>
      <c r="O6" s="166">
        <v>45</v>
      </c>
      <c r="P6" s="9">
        <v>25450</v>
      </c>
      <c r="Q6" s="13">
        <v>38175</v>
      </c>
      <c r="R6" s="13">
        <v>50900</v>
      </c>
      <c r="T6" s="166">
        <v>72</v>
      </c>
      <c r="U6" s="166">
        <v>15</v>
      </c>
      <c r="V6" s="166">
        <v>4</v>
      </c>
    </row>
    <row r="7" spans="1:24">
      <c r="A7" s="166">
        <v>2025</v>
      </c>
      <c r="B7" s="166">
        <v>11</v>
      </c>
      <c r="C7" s="166">
        <v>60</v>
      </c>
      <c r="D7" s="166" t="s">
        <v>25</v>
      </c>
      <c r="E7" s="12">
        <v>387909.95</v>
      </c>
      <c r="F7" s="166">
        <v>6120</v>
      </c>
      <c r="G7" s="166">
        <v>14166</v>
      </c>
      <c r="H7" s="166">
        <v>40825</v>
      </c>
      <c r="I7" s="166">
        <v>101617</v>
      </c>
      <c r="J7" s="12">
        <v>7947</v>
      </c>
      <c r="K7" s="12">
        <v>5481</v>
      </c>
      <c r="L7" s="12">
        <v>2466</v>
      </c>
      <c r="M7" s="166">
        <v>34</v>
      </c>
      <c r="N7" s="166">
        <v>19</v>
      </c>
      <c r="O7" s="166">
        <v>53</v>
      </c>
      <c r="P7" s="9">
        <f>(J7*10)</f>
        <v>79470</v>
      </c>
      <c r="Q7" s="13">
        <f>J7*15</f>
        <v>119205</v>
      </c>
      <c r="R7" s="13">
        <f>J7*20</f>
        <v>158940</v>
      </c>
      <c r="T7" s="166">
        <v>90</v>
      </c>
      <c r="U7" s="166">
        <v>15</v>
      </c>
      <c r="V7" s="166">
        <v>8</v>
      </c>
    </row>
    <row r="8" spans="1:24">
      <c r="A8" s="166" t="s">
        <v>26</v>
      </c>
      <c r="B8" s="84">
        <f t="shared" ref="B8:C8" si="3">SUM(B4:B7)</f>
        <v>53</v>
      </c>
      <c r="C8" s="84">
        <f t="shared" si="3"/>
        <v>256</v>
      </c>
      <c r="D8" s="84"/>
      <c r="E8" s="12">
        <f>SUM(E4:E7)</f>
        <v>1143706.8799999999</v>
      </c>
      <c r="F8" s="84">
        <f t="shared" ref="F8:O8" si="4">SUM(F4:F7)</f>
        <v>19133</v>
      </c>
      <c r="G8" s="84">
        <f t="shared" si="4"/>
        <v>56289</v>
      </c>
      <c r="H8" s="84">
        <f t="shared" si="4"/>
        <v>121643</v>
      </c>
      <c r="I8" s="84">
        <f t="shared" si="4"/>
        <v>427419</v>
      </c>
      <c r="J8" s="10">
        <f t="shared" si="4"/>
        <v>26510</v>
      </c>
      <c r="K8" s="10">
        <f t="shared" si="4"/>
        <v>12596</v>
      </c>
      <c r="L8" s="10">
        <f t="shared" si="4"/>
        <v>13914</v>
      </c>
      <c r="M8" s="166">
        <f t="shared" si="4"/>
        <v>158</v>
      </c>
      <c r="N8" s="166">
        <f t="shared" si="4"/>
        <v>57</v>
      </c>
      <c r="O8" s="166">
        <f t="shared" si="4"/>
        <v>215</v>
      </c>
      <c r="P8" s="10">
        <f t="shared" ref="P8:R8" si="5">SUM(P4:P7)</f>
        <v>265100</v>
      </c>
      <c r="Q8" s="10">
        <f t="shared" si="5"/>
        <v>397650</v>
      </c>
      <c r="R8" s="10">
        <f t="shared" si="5"/>
        <v>530200</v>
      </c>
      <c r="T8" s="14">
        <f>SUM(T4:T7)</f>
        <v>321</v>
      </c>
    </row>
    <row r="9" spans="1:24">
      <c r="D9" s="84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</row>
    <row r="10" spans="1:24">
      <c r="A10" s="15"/>
      <c r="B10" s="15"/>
      <c r="E10" s="10"/>
      <c r="G10" s="84"/>
      <c r="H10" s="84"/>
    </row>
    <row r="11" spans="1:24">
      <c r="J11" s="166"/>
    </row>
    <row r="12" spans="1:24">
      <c r="I12" s="166" t="s">
        <v>27</v>
      </c>
      <c r="M12" s="166"/>
    </row>
    <row r="13" spans="1:24">
      <c r="C13" s="14"/>
      <c r="M13" s="166"/>
    </row>
    <row r="14" spans="1:24">
      <c r="C14" s="14"/>
      <c r="G14" s="84"/>
    </row>
    <row r="15" spans="1:24">
      <c r="C15" s="14"/>
    </row>
    <row r="16" spans="1:24">
      <c r="C16" s="14"/>
    </row>
    <row r="20" spans="5:5" ht="15.75" customHeight="1"/>
    <row r="21" spans="5:5" ht="15.75" customHeight="1"/>
    <row r="22" spans="5:5" ht="15.75" customHeight="1"/>
    <row r="23" spans="5:5" ht="15.75" customHeight="1"/>
    <row r="24" spans="5:5" ht="15.75" customHeight="1"/>
    <row r="25" spans="5:5" ht="15.75" customHeight="1"/>
    <row r="26" spans="5:5" ht="15.75" customHeight="1"/>
    <row r="27" spans="5:5" ht="15.75" customHeight="1">
      <c r="E27" s="16"/>
    </row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C2:D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72"/>
  <sheetViews>
    <sheetView topLeftCell="A16" workbookViewId="0"/>
  </sheetViews>
  <sheetFormatPr defaultColWidth="12.5703125" defaultRowHeight="15" customHeight="1"/>
  <cols>
    <col min="1" max="1" width="30.7109375" bestFit="1" customWidth="1"/>
    <col min="4" max="4" width="29.42578125" customWidth="1"/>
    <col min="6" max="9" width="12.5703125" style="191"/>
  </cols>
  <sheetData>
    <row r="1" spans="1:24">
      <c r="A1" s="235" t="s">
        <v>225</v>
      </c>
      <c r="B1" s="225" t="s">
        <v>28</v>
      </c>
      <c r="C1" s="216"/>
      <c r="D1" s="168" t="s">
        <v>29</v>
      </c>
      <c r="E1" s="168" t="s">
        <v>4</v>
      </c>
      <c r="F1" s="185" t="s">
        <v>5</v>
      </c>
      <c r="G1" s="185" t="s">
        <v>6</v>
      </c>
      <c r="H1" s="185" t="s">
        <v>7</v>
      </c>
      <c r="I1" s="185" t="s">
        <v>8</v>
      </c>
      <c r="J1" s="168" t="s">
        <v>9</v>
      </c>
      <c r="K1" s="168" t="s">
        <v>10</v>
      </c>
      <c r="L1" s="17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>
      <c r="B2" s="18"/>
      <c r="C2" s="18"/>
      <c r="D2" s="18"/>
      <c r="E2" s="18"/>
      <c r="F2" s="205"/>
      <c r="G2" s="205"/>
      <c r="H2" s="205"/>
      <c r="I2" s="205"/>
      <c r="J2" s="18"/>
      <c r="K2" s="18"/>
      <c r="L2" s="19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s="178" customFormat="1">
      <c r="A3" s="178" t="s">
        <v>226</v>
      </c>
      <c r="B3" s="219">
        <v>4</v>
      </c>
      <c r="C3" s="220"/>
      <c r="D3" s="173" t="s">
        <v>30</v>
      </c>
      <c r="E3" s="174">
        <v>596</v>
      </c>
      <c r="F3" s="210">
        <v>0</v>
      </c>
      <c r="G3" s="210">
        <v>3153</v>
      </c>
      <c r="H3" s="210">
        <v>7819</v>
      </c>
      <c r="I3" s="206">
        <v>415</v>
      </c>
      <c r="J3" s="175">
        <v>415</v>
      </c>
      <c r="K3" s="175">
        <v>0</v>
      </c>
      <c r="L3" s="176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</row>
    <row r="4" spans="1:24" s="178" customFormat="1">
      <c r="B4" s="226"/>
      <c r="C4" s="227"/>
      <c r="D4" s="173" t="s">
        <v>31</v>
      </c>
      <c r="E4" s="174">
        <v>0</v>
      </c>
      <c r="F4" s="210">
        <v>1020</v>
      </c>
      <c r="G4" s="210">
        <v>199</v>
      </c>
      <c r="H4" s="210">
        <v>494</v>
      </c>
      <c r="I4" s="206">
        <v>133</v>
      </c>
      <c r="J4" s="175">
        <v>0</v>
      </c>
      <c r="K4" s="175">
        <v>133</v>
      </c>
      <c r="L4" s="176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</row>
    <row r="5" spans="1:24" s="178" customFormat="1">
      <c r="B5" s="221"/>
      <c r="C5" s="222"/>
      <c r="D5" s="173" t="s">
        <v>32</v>
      </c>
      <c r="E5" s="174">
        <v>0</v>
      </c>
      <c r="F5" s="210">
        <v>108</v>
      </c>
      <c r="G5" s="210">
        <v>21</v>
      </c>
      <c r="H5" s="210">
        <v>52</v>
      </c>
      <c r="I5" s="206">
        <v>14</v>
      </c>
      <c r="J5" s="175">
        <v>0</v>
      </c>
      <c r="K5" s="175">
        <v>14</v>
      </c>
      <c r="L5" s="176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</row>
    <row r="6" spans="1:24">
      <c r="A6" t="s">
        <v>227</v>
      </c>
      <c r="B6" s="228">
        <v>2</v>
      </c>
      <c r="C6" s="229"/>
      <c r="D6" s="20" t="s">
        <v>33</v>
      </c>
      <c r="E6" s="21">
        <v>0</v>
      </c>
      <c r="F6" s="210">
        <v>0</v>
      </c>
      <c r="G6" s="210">
        <v>0</v>
      </c>
      <c r="H6" s="210">
        <v>0</v>
      </c>
      <c r="I6" s="206">
        <v>0</v>
      </c>
      <c r="J6" s="22">
        <v>0</v>
      </c>
      <c r="K6" s="22">
        <v>0</v>
      </c>
      <c r="L6" s="23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4">
      <c r="B7" s="223"/>
      <c r="C7" s="224"/>
      <c r="D7" s="20" t="s">
        <v>31</v>
      </c>
      <c r="E7" s="21">
        <v>0</v>
      </c>
      <c r="F7" s="210">
        <v>510</v>
      </c>
      <c r="G7" s="210">
        <v>100</v>
      </c>
      <c r="H7" s="210">
        <v>247</v>
      </c>
      <c r="I7" s="206">
        <v>71</v>
      </c>
      <c r="J7" s="22">
        <v>71</v>
      </c>
      <c r="K7" s="22">
        <v>0</v>
      </c>
      <c r="L7" s="23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>
      <c r="B8" s="223"/>
      <c r="C8" s="224"/>
      <c r="D8" s="20" t="s">
        <v>34</v>
      </c>
      <c r="E8" s="21">
        <v>73</v>
      </c>
      <c r="F8" s="210">
        <v>0</v>
      </c>
      <c r="G8" s="210">
        <v>416</v>
      </c>
      <c r="H8" s="210">
        <v>1031</v>
      </c>
      <c r="I8" s="206">
        <v>65</v>
      </c>
      <c r="J8" s="22">
        <v>65</v>
      </c>
      <c r="K8" s="22">
        <v>0</v>
      </c>
      <c r="L8" s="23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4">
      <c r="B9" s="223"/>
      <c r="C9" s="224"/>
      <c r="D9" s="20" t="s">
        <v>35</v>
      </c>
      <c r="E9" s="21">
        <v>0</v>
      </c>
      <c r="F9" s="210">
        <v>146</v>
      </c>
      <c r="G9" s="210">
        <v>28</v>
      </c>
      <c r="H9" s="210">
        <v>71</v>
      </c>
      <c r="I9" s="206">
        <v>20</v>
      </c>
      <c r="J9" s="22">
        <v>20</v>
      </c>
      <c r="K9" s="22">
        <v>0</v>
      </c>
      <c r="L9" s="23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>
      <c r="B10" s="223"/>
      <c r="C10" s="224"/>
      <c r="D10" s="20" t="s">
        <v>36</v>
      </c>
      <c r="E10" s="21">
        <v>20</v>
      </c>
      <c r="F10" s="210">
        <v>0</v>
      </c>
      <c r="G10" s="210">
        <v>114</v>
      </c>
      <c r="H10" s="210">
        <v>283</v>
      </c>
      <c r="I10" s="206">
        <v>18</v>
      </c>
      <c r="J10" s="22">
        <v>18</v>
      </c>
      <c r="K10" s="22">
        <v>0</v>
      </c>
      <c r="L10" s="23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>
      <c r="B11" s="223"/>
      <c r="C11" s="224"/>
      <c r="D11" s="20" t="s">
        <v>37</v>
      </c>
      <c r="E11" s="21">
        <v>117</v>
      </c>
      <c r="F11" s="210">
        <v>0</v>
      </c>
      <c r="G11" s="210">
        <v>672</v>
      </c>
      <c r="H11" s="210">
        <v>1667</v>
      </c>
      <c r="I11" s="206">
        <v>106</v>
      </c>
      <c r="J11" s="22">
        <v>106</v>
      </c>
      <c r="K11" s="22">
        <v>0</v>
      </c>
      <c r="L11" s="23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>
      <c r="B12" s="223"/>
      <c r="C12" s="224"/>
      <c r="D12" s="20" t="s">
        <v>38</v>
      </c>
      <c r="E12" s="21">
        <v>192</v>
      </c>
      <c r="F12" s="210">
        <v>-1250</v>
      </c>
      <c r="G12" s="210">
        <v>854</v>
      </c>
      <c r="H12" s="210">
        <v>2118</v>
      </c>
      <c r="I12" s="213">
        <v>-2</v>
      </c>
      <c r="J12" s="24">
        <v>-2</v>
      </c>
      <c r="K12" s="22">
        <v>0</v>
      </c>
      <c r="L12" s="23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4">
      <c r="B13" s="223"/>
      <c r="C13" s="224"/>
      <c r="D13" s="20" t="s">
        <v>30</v>
      </c>
      <c r="E13" s="21">
        <v>361</v>
      </c>
      <c r="F13" s="210">
        <v>0</v>
      </c>
      <c r="G13" s="210">
        <v>242</v>
      </c>
      <c r="H13" s="210">
        <v>600</v>
      </c>
      <c r="I13" s="206">
        <v>325</v>
      </c>
      <c r="J13" s="22">
        <v>325</v>
      </c>
      <c r="K13" s="22">
        <v>0</v>
      </c>
      <c r="L13" s="23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spans="1:24">
      <c r="B14" s="223"/>
      <c r="C14" s="224"/>
      <c r="D14" s="20" t="s">
        <v>35</v>
      </c>
      <c r="E14" s="21">
        <v>0</v>
      </c>
      <c r="F14" s="210">
        <v>58</v>
      </c>
      <c r="G14" s="210">
        <v>11</v>
      </c>
      <c r="H14" s="210">
        <v>28</v>
      </c>
      <c r="I14" s="206">
        <v>8</v>
      </c>
      <c r="J14" s="22">
        <v>8</v>
      </c>
      <c r="K14" s="22">
        <v>0</v>
      </c>
      <c r="L14" s="23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>
      <c r="B15" s="217"/>
      <c r="C15" s="218"/>
      <c r="D15" s="20" t="s">
        <v>39</v>
      </c>
      <c r="E15" s="21">
        <v>172</v>
      </c>
      <c r="F15" s="210">
        <v>0</v>
      </c>
      <c r="G15" s="210">
        <v>984</v>
      </c>
      <c r="H15" s="210">
        <v>2440</v>
      </c>
      <c r="I15" s="206">
        <v>155</v>
      </c>
      <c r="J15" s="22">
        <v>155</v>
      </c>
      <c r="K15" s="22">
        <v>0</v>
      </c>
      <c r="L15" s="23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 s="178" customFormat="1">
      <c r="A16" s="178" t="s">
        <v>228</v>
      </c>
      <c r="B16" s="219">
        <v>4</v>
      </c>
      <c r="C16" s="220"/>
      <c r="D16" s="173" t="s">
        <v>40</v>
      </c>
      <c r="E16" s="174">
        <v>0</v>
      </c>
      <c r="F16" s="210">
        <v>0</v>
      </c>
      <c r="G16" s="210">
        <v>0</v>
      </c>
      <c r="H16" s="210">
        <v>0</v>
      </c>
      <c r="I16" s="206">
        <v>0</v>
      </c>
      <c r="J16" s="175">
        <v>0</v>
      </c>
      <c r="K16" s="175">
        <v>0</v>
      </c>
      <c r="L16" s="176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</row>
    <row r="17" spans="1:24" s="178" customFormat="1">
      <c r="B17" s="221"/>
      <c r="C17" s="222"/>
      <c r="D17" s="173" t="s">
        <v>35</v>
      </c>
      <c r="E17" s="174">
        <v>0</v>
      </c>
      <c r="F17" s="210">
        <v>53</v>
      </c>
      <c r="G17" s="210">
        <v>10</v>
      </c>
      <c r="H17" s="210">
        <v>26</v>
      </c>
      <c r="I17" s="206">
        <v>7</v>
      </c>
      <c r="J17" s="175">
        <v>7</v>
      </c>
      <c r="K17" s="175">
        <v>0</v>
      </c>
      <c r="L17" s="176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</row>
    <row r="18" spans="1:24">
      <c r="A18" t="s">
        <v>229</v>
      </c>
      <c r="B18" s="228">
        <v>4</v>
      </c>
      <c r="C18" s="229"/>
      <c r="D18" s="20" t="s">
        <v>41</v>
      </c>
      <c r="E18" s="21">
        <v>67</v>
      </c>
      <c r="F18" s="210">
        <v>0</v>
      </c>
      <c r="G18" s="210">
        <v>386</v>
      </c>
      <c r="H18" s="210">
        <v>957</v>
      </c>
      <c r="I18" s="206">
        <v>55</v>
      </c>
      <c r="J18" s="22">
        <v>55</v>
      </c>
      <c r="K18" s="22">
        <v>0</v>
      </c>
      <c r="L18" s="23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>
      <c r="B19" s="223"/>
      <c r="C19" s="224"/>
      <c r="D19" s="20" t="s">
        <v>42</v>
      </c>
      <c r="E19" s="21">
        <v>177</v>
      </c>
      <c r="F19" s="210">
        <v>0</v>
      </c>
      <c r="G19" s="210">
        <v>43</v>
      </c>
      <c r="H19" s="210">
        <v>106</v>
      </c>
      <c r="I19" s="206">
        <v>143</v>
      </c>
      <c r="J19" s="22">
        <v>143</v>
      </c>
      <c r="K19" s="22">
        <v>0</v>
      </c>
      <c r="L19" s="23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>
      <c r="B20" s="223"/>
      <c r="C20" s="224"/>
      <c r="D20" s="20" t="s">
        <v>43</v>
      </c>
      <c r="E20" s="21">
        <v>0</v>
      </c>
      <c r="F20" s="210">
        <v>1020</v>
      </c>
      <c r="G20" s="210">
        <v>199</v>
      </c>
      <c r="H20" s="210">
        <v>494</v>
      </c>
      <c r="I20" s="206">
        <v>133</v>
      </c>
      <c r="J20" s="22">
        <v>0</v>
      </c>
      <c r="K20" s="22">
        <v>133</v>
      </c>
      <c r="L20" s="23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>
      <c r="B21" s="223"/>
      <c r="C21" s="224"/>
      <c r="D21" s="20" t="s">
        <v>32</v>
      </c>
      <c r="E21" s="21">
        <v>0</v>
      </c>
      <c r="F21" s="210">
        <v>216</v>
      </c>
      <c r="G21" s="210">
        <v>46</v>
      </c>
      <c r="H21" s="210">
        <v>114</v>
      </c>
      <c r="I21" s="206">
        <v>11</v>
      </c>
      <c r="J21" s="22">
        <v>0</v>
      </c>
      <c r="K21" s="22">
        <v>11</v>
      </c>
      <c r="L21" s="23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4">
      <c r="B22" s="223"/>
      <c r="C22" s="224"/>
      <c r="D22" s="20" t="s">
        <v>44</v>
      </c>
      <c r="E22" s="21">
        <v>35</v>
      </c>
      <c r="F22" s="210">
        <v>0</v>
      </c>
      <c r="G22" s="210">
        <v>200</v>
      </c>
      <c r="H22" s="210">
        <v>496</v>
      </c>
      <c r="I22" s="206">
        <v>28</v>
      </c>
      <c r="J22" s="22">
        <v>28</v>
      </c>
      <c r="K22" s="22">
        <v>0</v>
      </c>
      <c r="L22" s="23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4">
      <c r="B23" s="217"/>
      <c r="C23" s="218"/>
      <c r="D23" s="20" t="s">
        <v>39</v>
      </c>
      <c r="E23" s="21">
        <v>163</v>
      </c>
      <c r="F23" s="210">
        <v>0</v>
      </c>
      <c r="G23" s="210">
        <v>932</v>
      </c>
      <c r="H23" s="210">
        <v>2311</v>
      </c>
      <c r="I23" s="206">
        <v>132</v>
      </c>
      <c r="J23" s="22">
        <v>132</v>
      </c>
      <c r="K23" s="22">
        <v>0</v>
      </c>
      <c r="L23" s="2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s="178" customFormat="1">
      <c r="A24" s="178" t="s">
        <v>230</v>
      </c>
      <c r="B24" s="219">
        <v>2</v>
      </c>
      <c r="C24" s="220"/>
      <c r="D24" s="173" t="s">
        <v>40</v>
      </c>
      <c r="E24" s="174">
        <v>22</v>
      </c>
      <c r="F24" s="210">
        <v>12</v>
      </c>
      <c r="G24" s="210">
        <v>125</v>
      </c>
      <c r="H24" s="210">
        <v>301</v>
      </c>
      <c r="I24" s="206">
        <v>21</v>
      </c>
      <c r="J24" s="175">
        <v>0</v>
      </c>
      <c r="K24" s="175">
        <v>21</v>
      </c>
      <c r="L24" s="176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</row>
    <row r="25" spans="1:24" s="178" customFormat="1">
      <c r="B25" s="226"/>
      <c r="C25" s="227"/>
      <c r="D25" s="173" t="s">
        <v>45</v>
      </c>
      <c r="E25" s="174">
        <v>86</v>
      </c>
      <c r="F25" s="210">
        <v>39</v>
      </c>
      <c r="G25" s="210">
        <v>470</v>
      </c>
      <c r="H25" s="210">
        <v>1665</v>
      </c>
      <c r="I25" s="206">
        <v>81</v>
      </c>
      <c r="J25" s="175">
        <v>0</v>
      </c>
      <c r="K25" s="175">
        <v>81</v>
      </c>
      <c r="L25" s="176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</row>
    <row r="26" spans="1:24" s="178" customFormat="1">
      <c r="B26" s="226"/>
      <c r="C26" s="227"/>
      <c r="D26" s="173" t="s">
        <v>46</v>
      </c>
      <c r="E26" s="174">
        <v>0</v>
      </c>
      <c r="F26" s="210">
        <v>0</v>
      </c>
      <c r="G26" s="210">
        <v>0</v>
      </c>
      <c r="H26" s="210">
        <v>0</v>
      </c>
      <c r="I26" s="206">
        <v>0</v>
      </c>
      <c r="J26" s="175">
        <v>0</v>
      </c>
      <c r="K26" s="175">
        <v>0</v>
      </c>
      <c r="L26" s="176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</row>
    <row r="27" spans="1:24">
      <c r="A27" t="s">
        <v>231</v>
      </c>
      <c r="B27" s="228">
        <v>16</v>
      </c>
      <c r="C27" s="229"/>
      <c r="D27" s="20" t="s">
        <v>47</v>
      </c>
      <c r="E27" s="21">
        <v>986</v>
      </c>
      <c r="F27" s="210">
        <v>0</v>
      </c>
      <c r="G27" s="210">
        <v>5643</v>
      </c>
      <c r="H27" s="210">
        <v>139994</v>
      </c>
      <c r="I27" s="206">
        <v>888</v>
      </c>
      <c r="J27" s="22">
        <v>888</v>
      </c>
      <c r="K27" s="22">
        <v>0</v>
      </c>
      <c r="L27" s="23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spans="1:24">
      <c r="B28" s="223"/>
      <c r="C28" s="224"/>
      <c r="D28" s="20" t="s">
        <v>32</v>
      </c>
      <c r="E28" s="21">
        <v>0</v>
      </c>
      <c r="F28" s="210">
        <v>3</v>
      </c>
      <c r="G28" s="210">
        <v>1</v>
      </c>
      <c r="H28" s="210">
        <v>2</v>
      </c>
      <c r="I28" s="206">
        <v>0</v>
      </c>
      <c r="J28" s="22">
        <v>0</v>
      </c>
      <c r="K28" s="22">
        <v>0</v>
      </c>
      <c r="L28" s="23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1:24" s="178" customFormat="1">
      <c r="A29" s="178" t="s">
        <v>232</v>
      </c>
      <c r="B29" s="219">
        <v>8</v>
      </c>
      <c r="C29" s="220"/>
      <c r="D29" s="173" t="s">
        <v>41</v>
      </c>
      <c r="E29" s="174">
        <v>0</v>
      </c>
      <c r="F29" s="210">
        <v>6310</v>
      </c>
      <c r="G29" s="210">
        <v>1231</v>
      </c>
      <c r="H29" s="210">
        <v>3054</v>
      </c>
      <c r="I29" s="206">
        <v>845</v>
      </c>
      <c r="J29" s="175">
        <v>0</v>
      </c>
      <c r="K29" s="175">
        <v>845</v>
      </c>
      <c r="L29" s="176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</row>
    <row r="30" spans="1:24" s="178" customFormat="1">
      <c r="B30" s="226"/>
      <c r="C30" s="227"/>
      <c r="D30" s="173" t="s">
        <v>48</v>
      </c>
      <c r="E30" s="174">
        <v>0</v>
      </c>
      <c r="F30" s="210">
        <v>0</v>
      </c>
      <c r="G30" s="210">
        <v>0</v>
      </c>
      <c r="H30" s="210">
        <v>0</v>
      </c>
      <c r="I30" s="206">
        <v>0</v>
      </c>
      <c r="J30" s="175">
        <v>0</v>
      </c>
      <c r="K30" s="175">
        <v>0</v>
      </c>
      <c r="L30" s="176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</row>
    <row r="31" spans="1:24" s="178" customFormat="1">
      <c r="B31" s="226"/>
      <c r="C31" s="227"/>
      <c r="D31" s="173" t="s">
        <v>35</v>
      </c>
      <c r="E31" s="174">
        <v>0</v>
      </c>
      <c r="F31" s="210">
        <v>3189</v>
      </c>
      <c r="G31" s="210">
        <v>622</v>
      </c>
      <c r="H31" s="210">
        <v>1544</v>
      </c>
      <c r="I31" s="206">
        <v>427</v>
      </c>
      <c r="J31" s="175">
        <v>0</v>
      </c>
      <c r="K31" s="175">
        <v>427</v>
      </c>
      <c r="L31" s="176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</row>
    <row r="32" spans="1:24" s="178" customFormat="1">
      <c r="B32" s="226"/>
      <c r="C32" s="227"/>
      <c r="D32" s="173" t="s">
        <v>43</v>
      </c>
      <c r="E32" s="174">
        <v>0</v>
      </c>
      <c r="F32" s="210">
        <v>2040</v>
      </c>
      <c r="G32" s="210">
        <v>398</v>
      </c>
      <c r="H32" s="210">
        <v>987</v>
      </c>
      <c r="I32" s="206">
        <v>273</v>
      </c>
      <c r="J32" s="175">
        <v>0</v>
      </c>
      <c r="K32" s="175">
        <v>273</v>
      </c>
      <c r="L32" s="176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</row>
    <row r="33" spans="1:24" s="178" customFormat="1">
      <c r="B33" s="221"/>
      <c r="C33" s="222"/>
      <c r="D33" s="173" t="s">
        <v>49</v>
      </c>
      <c r="E33" s="174">
        <v>0</v>
      </c>
      <c r="F33" s="210">
        <v>2805</v>
      </c>
      <c r="G33" s="210">
        <v>547</v>
      </c>
      <c r="H33" s="210">
        <v>1358</v>
      </c>
      <c r="I33" s="206">
        <v>376</v>
      </c>
      <c r="J33" s="175">
        <v>0</v>
      </c>
      <c r="K33" s="175">
        <v>376</v>
      </c>
      <c r="L33" s="176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</row>
    <row r="34" spans="1:24">
      <c r="A34" t="s">
        <v>233</v>
      </c>
      <c r="B34" s="228">
        <v>8</v>
      </c>
      <c r="C34" s="229"/>
      <c r="D34" s="20" t="s">
        <v>44</v>
      </c>
      <c r="E34" s="21">
        <v>126</v>
      </c>
      <c r="F34" s="210">
        <v>0</v>
      </c>
      <c r="G34" s="210">
        <v>719</v>
      </c>
      <c r="H34" s="210">
        <v>1783</v>
      </c>
      <c r="I34" s="206">
        <v>119</v>
      </c>
      <c r="J34" s="22">
        <v>119</v>
      </c>
      <c r="K34" s="22">
        <v>0</v>
      </c>
      <c r="L34" s="23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spans="1:24">
      <c r="B35" s="217"/>
      <c r="C35" s="218"/>
      <c r="D35" s="20" t="s">
        <v>37</v>
      </c>
      <c r="E35" s="21">
        <v>487</v>
      </c>
      <c r="F35" s="210">
        <v>0</v>
      </c>
      <c r="G35" s="210">
        <v>2790</v>
      </c>
      <c r="H35" s="210">
        <v>7222</v>
      </c>
      <c r="I35" s="206">
        <v>463</v>
      </c>
      <c r="J35" s="22">
        <v>463</v>
      </c>
      <c r="K35" s="22">
        <v>0</v>
      </c>
      <c r="L35" s="23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1:24" s="178" customFormat="1">
      <c r="A36" s="178" t="s">
        <v>234</v>
      </c>
      <c r="B36" s="219">
        <v>4</v>
      </c>
      <c r="C36" s="220"/>
      <c r="D36" s="173" t="s">
        <v>41</v>
      </c>
      <c r="E36" s="174">
        <v>0</v>
      </c>
      <c r="F36" s="210">
        <v>0</v>
      </c>
      <c r="G36" s="210">
        <v>0</v>
      </c>
      <c r="H36" s="210">
        <v>0</v>
      </c>
      <c r="I36" s="206">
        <v>0</v>
      </c>
      <c r="J36" s="175">
        <v>0</v>
      </c>
      <c r="K36" s="175">
        <v>0</v>
      </c>
      <c r="L36" s="176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</row>
    <row r="37" spans="1:24" s="178" customFormat="1">
      <c r="B37" s="226"/>
      <c r="C37" s="227"/>
      <c r="D37" s="173" t="s">
        <v>50</v>
      </c>
      <c r="E37" s="174">
        <v>0</v>
      </c>
      <c r="F37" s="210">
        <v>0</v>
      </c>
      <c r="G37" s="210">
        <v>0</v>
      </c>
      <c r="H37" s="210">
        <v>0</v>
      </c>
      <c r="I37" s="206">
        <v>0</v>
      </c>
      <c r="J37" s="175">
        <v>0</v>
      </c>
      <c r="K37" s="175">
        <v>0</v>
      </c>
      <c r="L37" s="176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</row>
    <row r="38" spans="1:24" s="178" customFormat="1">
      <c r="B38" s="226"/>
      <c r="C38" s="227"/>
      <c r="D38" s="173" t="s">
        <v>51</v>
      </c>
      <c r="E38" s="174">
        <v>35</v>
      </c>
      <c r="F38" s="210">
        <v>0</v>
      </c>
      <c r="G38" s="210">
        <v>203</v>
      </c>
      <c r="H38" s="210">
        <v>503</v>
      </c>
      <c r="I38" s="206">
        <v>31</v>
      </c>
      <c r="J38" s="175">
        <v>31</v>
      </c>
      <c r="K38" s="175">
        <v>0</v>
      </c>
      <c r="L38" s="176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</row>
    <row r="39" spans="1:24" s="178" customFormat="1">
      <c r="B39" s="226"/>
      <c r="C39" s="227"/>
      <c r="D39" s="173" t="s">
        <v>52</v>
      </c>
      <c r="E39" s="174">
        <v>0</v>
      </c>
      <c r="F39" s="210">
        <v>876</v>
      </c>
      <c r="G39" s="210">
        <v>199</v>
      </c>
      <c r="H39" s="210">
        <v>494</v>
      </c>
      <c r="I39" s="206">
        <v>105</v>
      </c>
      <c r="J39" s="175">
        <v>105</v>
      </c>
      <c r="K39" s="175">
        <v>0</v>
      </c>
      <c r="L39" s="176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</row>
    <row r="40" spans="1:24" s="178" customFormat="1">
      <c r="B40" s="226"/>
      <c r="C40" s="227"/>
      <c r="D40" s="173" t="s">
        <v>41</v>
      </c>
      <c r="E40" s="174">
        <v>93</v>
      </c>
      <c r="F40" s="210">
        <v>48</v>
      </c>
      <c r="G40" s="210">
        <v>543</v>
      </c>
      <c r="H40" s="210">
        <v>1347</v>
      </c>
      <c r="I40" s="206">
        <v>782</v>
      </c>
      <c r="J40" s="175">
        <v>782</v>
      </c>
      <c r="K40" s="175">
        <v>0</v>
      </c>
      <c r="L40" s="176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</row>
    <row r="41" spans="1:24" s="178" customFormat="1">
      <c r="B41" s="226"/>
      <c r="C41" s="227"/>
      <c r="D41" s="173" t="s">
        <v>53</v>
      </c>
      <c r="E41" s="174">
        <v>6</v>
      </c>
      <c r="F41" s="210">
        <v>0</v>
      </c>
      <c r="G41" s="210">
        <v>34</v>
      </c>
      <c r="H41" s="210">
        <v>85</v>
      </c>
      <c r="I41" s="206">
        <v>5</v>
      </c>
      <c r="J41" s="175">
        <v>5</v>
      </c>
      <c r="K41" s="175">
        <v>0</v>
      </c>
      <c r="L41" s="176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</row>
    <row r="42" spans="1:24" s="178" customFormat="1">
      <c r="B42" s="226"/>
      <c r="C42" s="227"/>
      <c r="D42" s="173" t="s">
        <v>35</v>
      </c>
      <c r="E42" s="174">
        <v>0</v>
      </c>
      <c r="F42" s="210">
        <v>913</v>
      </c>
      <c r="G42" s="210">
        <v>178</v>
      </c>
      <c r="H42" s="210">
        <v>442</v>
      </c>
      <c r="I42" s="206">
        <v>110</v>
      </c>
      <c r="J42" s="175">
        <v>110</v>
      </c>
      <c r="K42" s="175">
        <v>0</v>
      </c>
      <c r="L42" s="176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</row>
    <row r="43" spans="1:24" s="178" customFormat="1">
      <c r="B43" s="221"/>
      <c r="C43" s="222"/>
      <c r="D43" s="173" t="s">
        <v>46</v>
      </c>
      <c r="E43" s="174">
        <v>0</v>
      </c>
      <c r="F43" s="210">
        <v>0</v>
      </c>
      <c r="G43" s="210">
        <v>0</v>
      </c>
      <c r="H43" s="210">
        <v>0</v>
      </c>
      <c r="I43" s="206">
        <v>0</v>
      </c>
      <c r="J43" s="175">
        <v>0</v>
      </c>
      <c r="K43" s="175">
        <v>0</v>
      </c>
      <c r="L43" s="176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</row>
    <row r="44" spans="1:24">
      <c r="A44" t="s">
        <v>235</v>
      </c>
      <c r="B44" s="228">
        <v>8</v>
      </c>
      <c r="C44" s="229"/>
      <c r="D44" s="20" t="s">
        <v>54</v>
      </c>
      <c r="E44" s="21">
        <v>0</v>
      </c>
      <c r="F44" s="210">
        <v>3317</v>
      </c>
      <c r="G44" s="210">
        <v>1295</v>
      </c>
      <c r="H44" s="210">
        <v>3211</v>
      </c>
      <c r="I44" s="206">
        <v>500</v>
      </c>
      <c r="J44" s="22">
        <v>0</v>
      </c>
      <c r="K44" s="22">
        <v>500</v>
      </c>
      <c r="L44" s="23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spans="1:24">
      <c r="B45" s="223"/>
      <c r="C45" s="224"/>
      <c r="D45" s="20" t="s">
        <v>55</v>
      </c>
      <c r="E45" s="21">
        <v>0</v>
      </c>
      <c r="F45" s="210">
        <v>0</v>
      </c>
      <c r="G45" s="210">
        <v>0</v>
      </c>
      <c r="H45" s="210">
        <v>0</v>
      </c>
      <c r="I45" s="206">
        <v>0</v>
      </c>
      <c r="J45" s="22">
        <v>0</v>
      </c>
      <c r="K45" s="22">
        <v>0</v>
      </c>
      <c r="L45" s="2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1:24">
      <c r="B46" s="217"/>
      <c r="C46" s="218"/>
      <c r="D46" s="20" t="s">
        <v>56</v>
      </c>
      <c r="E46" s="21">
        <v>0</v>
      </c>
      <c r="F46" s="210">
        <v>829</v>
      </c>
      <c r="G46" s="210">
        <v>324</v>
      </c>
      <c r="H46" s="210">
        <v>802</v>
      </c>
      <c r="I46" s="206">
        <v>125</v>
      </c>
      <c r="J46" s="22">
        <v>0</v>
      </c>
      <c r="K46" s="22">
        <v>125</v>
      </c>
      <c r="L46" s="23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spans="1:24" s="178" customFormat="1">
      <c r="A47" s="178" t="s">
        <v>228</v>
      </c>
      <c r="B47" s="219">
        <v>4</v>
      </c>
      <c r="C47" s="220"/>
      <c r="D47" s="173" t="s">
        <v>57</v>
      </c>
      <c r="E47" s="174">
        <v>0</v>
      </c>
      <c r="F47" s="210">
        <v>740</v>
      </c>
      <c r="G47" s="210">
        <v>144</v>
      </c>
      <c r="H47" s="210">
        <v>358</v>
      </c>
      <c r="I47" s="206">
        <v>96</v>
      </c>
      <c r="J47" s="175">
        <v>0</v>
      </c>
      <c r="K47" s="175">
        <v>96</v>
      </c>
      <c r="L47" s="176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</row>
    <row r="48" spans="1:24" s="178" customFormat="1">
      <c r="B48" s="221"/>
      <c r="C48" s="222"/>
      <c r="D48" s="173" t="s">
        <v>32</v>
      </c>
      <c r="E48" s="174">
        <v>0</v>
      </c>
      <c r="F48" s="210">
        <v>300</v>
      </c>
      <c r="G48" s="210">
        <v>59</v>
      </c>
      <c r="H48" s="210">
        <v>145</v>
      </c>
      <c r="I48" s="206">
        <v>39</v>
      </c>
      <c r="J48" s="175">
        <v>0</v>
      </c>
      <c r="K48" s="175">
        <v>39</v>
      </c>
      <c r="L48" s="176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</row>
    <row r="49" spans="1:24">
      <c r="A49" t="s">
        <v>236</v>
      </c>
      <c r="B49" s="228">
        <v>4</v>
      </c>
      <c r="C49" s="229"/>
      <c r="D49" s="20" t="s">
        <v>40</v>
      </c>
      <c r="E49" s="21">
        <v>0</v>
      </c>
      <c r="F49" s="210">
        <v>0</v>
      </c>
      <c r="G49" s="210">
        <v>0</v>
      </c>
      <c r="H49" s="210">
        <v>0</v>
      </c>
      <c r="I49" s="206">
        <v>0</v>
      </c>
      <c r="J49" s="22">
        <v>0</v>
      </c>
      <c r="K49" s="22">
        <v>0</v>
      </c>
      <c r="L49" s="23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spans="1:24">
      <c r="B50" s="223"/>
      <c r="C50" s="224"/>
      <c r="D50" s="20" t="s">
        <v>40</v>
      </c>
      <c r="E50" s="21">
        <v>0</v>
      </c>
      <c r="F50" s="210">
        <v>0</v>
      </c>
      <c r="G50" s="210">
        <v>0</v>
      </c>
      <c r="H50" s="210">
        <v>0</v>
      </c>
      <c r="I50" s="206">
        <v>0</v>
      </c>
      <c r="J50" s="22">
        <v>0</v>
      </c>
      <c r="K50" s="22">
        <v>0</v>
      </c>
      <c r="L50" s="23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spans="1:24">
      <c r="B51" s="223"/>
      <c r="C51" s="224"/>
      <c r="D51" s="20" t="s">
        <v>58</v>
      </c>
      <c r="E51" s="21">
        <v>0</v>
      </c>
      <c r="F51" s="210">
        <v>0</v>
      </c>
      <c r="G51" s="210">
        <v>0</v>
      </c>
      <c r="H51" s="210">
        <v>0</v>
      </c>
      <c r="I51" s="206">
        <v>0</v>
      </c>
      <c r="J51" s="22">
        <v>0</v>
      </c>
      <c r="K51" s="22">
        <v>0</v>
      </c>
      <c r="L51" s="23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spans="1:24">
      <c r="B52" s="223"/>
      <c r="C52" s="224"/>
      <c r="D52" s="20" t="s">
        <v>48</v>
      </c>
      <c r="E52" s="21">
        <v>0</v>
      </c>
      <c r="F52" s="210">
        <v>0</v>
      </c>
      <c r="G52" s="210">
        <v>0</v>
      </c>
      <c r="H52" s="214"/>
      <c r="I52" s="206">
        <v>0</v>
      </c>
      <c r="J52" s="22">
        <v>0</v>
      </c>
      <c r="K52" s="22">
        <v>0</v>
      </c>
      <c r="L52" s="23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spans="1:24">
      <c r="B53" s="223"/>
      <c r="C53" s="224"/>
      <c r="D53" s="20" t="s">
        <v>30</v>
      </c>
      <c r="E53" s="21">
        <v>866</v>
      </c>
      <c r="F53" s="210">
        <v>0</v>
      </c>
      <c r="G53" s="210">
        <v>4955</v>
      </c>
      <c r="H53" s="210">
        <v>12289</v>
      </c>
      <c r="I53" s="206">
        <v>675</v>
      </c>
      <c r="J53" s="22">
        <v>675</v>
      </c>
      <c r="K53" s="22">
        <v>0</v>
      </c>
      <c r="L53" s="23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spans="1:24">
      <c r="B54" s="223"/>
      <c r="C54" s="224"/>
      <c r="D54" s="20" t="s">
        <v>49</v>
      </c>
      <c r="E54" s="21">
        <v>320</v>
      </c>
      <c r="F54" s="210">
        <v>0</v>
      </c>
      <c r="G54" s="210">
        <v>1830</v>
      </c>
      <c r="H54" s="210">
        <v>4538</v>
      </c>
      <c r="I54" s="206">
        <v>250</v>
      </c>
      <c r="J54" s="22">
        <v>250</v>
      </c>
      <c r="K54" s="22">
        <v>0</v>
      </c>
      <c r="L54" s="2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spans="1:24">
      <c r="B55" s="223"/>
      <c r="C55" s="224"/>
      <c r="D55" s="20" t="s">
        <v>41</v>
      </c>
      <c r="E55" s="21">
        <v>173</v>
      </c>
      <c r="F55" s="210">
        <v>0</v>
      </c>
      <c r="G55" s="210">
        <v>990</v>
      </c>
      <c r="H55" s="210">
        <v>2455</v>
      </c>
      <c r="I55" s="206">
        <v>135</v>
      </c>
      <c r="J55" s="22">
        <v>135</v>
      </c>
      <c r="K55" s="22">
        <v>0</v>
      </c>
      <c r="L55" s="23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spans="1:24">
      <c r="B56" s="223"/>
      <c r="C56" s="224"/>
      <c r="D56" s="20" t="s">
        <v>59</v>
      </c>
      <c r="E56" s="21">
        <v>287</v>
      </c>
      <c r="F56" s="210">
        <v>0</v>
      </c>
      <c r="G56" s="210">
        <v>1642</v>
      </c>
      <c r="H56" s="210">
        <v>4071</v>
      </c>
      <c r="I56" s="206">
        <v>224</v>
      </c>
      <c r="J56" s="22">
        <v>224</v>
      </c>
      <c r="K56" s="22">
        <v>0</v>
      </c>
      <c r="L56" s="23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spans="1:24">
      <c r="B57" s="223"/>
      <c r="C57" s="224"/>
      <c r="D57" s="20" t="s">
        <v>60</v>
      </c>
      <c r="E57" s="21">
        <v>93</v>
      </c>
      <c r="F57" s="210">
        <v>0</v>
      </c>
      <c r="G57" s="210">
        <v>529</v>
      </c>
      <c r="H57" s="210">
        <v>1312</v>
      </c>
      <c r="I57" s="206">
        <v>72</v>
      </c>
      <c r="J57" s="22">
        <v>72</v>
      </c>
      <c r="K57" s="22">
        <v>0</v>
      </c>
      <c r="L57" s="23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1:24">
      <c r="B58" s="217"/>
      <c r="C58" s="218"/>
      <c r="D58" s="20" t="s">
        <v>35</v>
      </c>
      <c r="E58" s="21">
        <v>0</v>
      </c>
      <c r="F58" s="210">
        <v>56</v>
      </c>
      <c r="G58" s="210">
        <v>11</v>
      </c>
      <c r="H58" s="210">
        <v>27</v>
      </c>
      <c r="I58" s="206">
        <v>8</v>
      </c>
      <c r="J58" s="22">
        <v>8</v>
      </c>
      <c r="K58" s="22">
        <v>0</v>
      </c>
      <c r="L58" s="23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spans="1:24" s="178" customFormat="1">
      <c r="A59" s="178" t="s">
        <v>237</v>
      </c>
      <c r="B59" s="219">
        <v>20</v>
      </c>
      <c r="C59" s="220"/>
      <c r="D59" s="173" t="s">
        <v>61</v>
      </c>
      <c r="E59" s="174">
        <v>12</v>
      </c>
      <c r="F59" s="210">
        <v>0</v>
      </c>
      <c r="G59" s="210">
        <v>62</v>
      </c>
      <c r="H59" s="210">
        <v>841</v>
      </c>
      <c r="I59" s="206">
        <v>10</v>
      </c>
      <c r="J59" s="175">
        <v>0</v>
      </c>
      <c r="K59" s="175">
        <v>10</v>
      </c>
      <c r="L59" s="176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</row>
    <row r="60" spans="1:24" s="178" customFormat="1">
      <c r="B60" s="221"/>
      <c r="C60" s="222"/>
      <c r="D60" s="173" t="s">
        <v>50</v>
      </c>
      <c r="E60" s="174">
        <v>7</v>
      </c>
      <c r="F60" s="210">
        <v>0</v>
      </c>
      <c r="G60" s="210">
        <v>41</v>
      </c>
      <c r="H60" s="210">
        <v>93</v>
      </c>
      <c r="I60" s="206">
        <v>50</v>
      </c>
      <c r="J60" s="175">
        <v>0</v>
      </c>
      <c r="K60" s="175">
        <v>50</v>
      </c>
      <c r="L60" s="176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</row>
    <row r="61" spans="1:24">
      <c r="B61" s="25">
        <v>88</v>
      </c>
      <c r="C61" s="26"/>
      <c r="D61" s="26"/>
      <c r="E61" s="28">
        <f t="shared" ref="E61:K61" si="0">SUM(E2:E60)</f>
        <v>5572</v>
      </c>
      <c r="F61" s="212">
        <f t="shared" si="0"/>
        <v>23358</v>
      </c>
      <c r="G61" s="212">
        <f t="shared" si="0"/>
        <v>34195</v>
      </c>
      <c r="H61" s="212">
        <f t="shared" si="0"/>
        <v>212277</v>
      </c>
      <c r="I61" s="208">
        <f t="shared" si="0"/>
        <v>8547</v>
      </c>
      <c r="J61" s="27">
        <f t="shared" si="0"/>
        <v>5413</v>
      </c>
      <c r="K61" s="27">
        <f t="shared" si="0"/>
        <v>3134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spans="1:24">
      <c r="B62" s="16"/>
      <c r="C62" s="16"/>
      <c r="D62" s="16"/>
      <c r="E62" s="16"/>
      <c r="F62" s="209"/>
      <c r="G62" s="209"/>
      <c r="H62" s="209"/>
      <c r="I62" s="209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spans="1:24">
      <c r="B63" s="16"/>
      <c r="C63" s="16"/>
      <c r="D63" s="16"/>
      <c r="E63" s="16"/>
      <c r="F63" s="209"/>
      <c r="G63" s="209"/>
      <c r="H63" s="209"/>
      <c r="I63" s="209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spans="1:24">
      <c r="B64" s="16"/>
      <c r="C64" s="16"/>
      <c r="D64" s="16"/>
      <c r="E64" s="16"/>
      <c r="F64" s="209"/>
      <c r="G64" s="209"/>
      <c r="H64" s="209"/>
      <c r="I64" s="209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spans="2:24">
      <c r="B65" s="16"/>
      <c r="C65" s="16"/>
      <c r="D65" s="16"/>
      <c r="E65" s="16"/>
      <c r="F65" s="209"/>
      <c r="G65" s="209"/>
      <c r="H65" s="209"/>
      <c r="I65" s="209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spans="2:24">
      <c r="B66" s="16"/>
      <c r="C66" s="16"/>
      <c r="D66" s="16"/>
      <c r="E66" s="16"/>
      <c r="F66" s="209"/>
      <c r="G66" s="209"/>
      <c r="H66" s="209"/>
      <c r="I66" s="209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spans="2:24">
      <c r="B67" s="16"/>
      <c r="C67" s="16"/>
      <c r="D67" s="16"/>
      <c r="E67" s="16"/>
      <c r="F67" s="209"/>
      <c r="G67" s="209"/>
      <c r="H67" s="209"/>
      <c r="I67" s="209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spans="2:24">
      <c r="B68" s="16"/>
      <c r="C68" s="16"/>
      <c r="D68" s="16"/>
      <c r="E68" s="16"/>
      <c r="F68" s="209"/>
      <c r="G68" s="209"/>
      <c r="H68" s="209"/>
      <c r="I68" s="209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spans="2:24">
      <c r="B69" s="16"/>
      <c r="C69" s="16"/>
      <c r="D69" s="16"/>
      <c r="E69" s="16"/>
      <c r="F69" s="209"/>
      <c r="G69" s="209"/>
      <c r="H69" s="209"/>
      <c r="I69" s="209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spans="2:24">
      <c r="B70" s="16"/>
      <c r="C70" s="16"/>
      <c r="D70" s="16"/>
      <c r="E70" s="16"/>
      <c r="F70" s="209"/>
      <c r="G70" s="209"/>
      <c r="H70" s="209"/>
      <c r="I70" s="209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spans="2:24">
      <c r="B71" s="16"/>
      <c r="C71" s="16"/>
      <c r="D71" s="16"/>
      <c r="E71" s="16"/>
      <c r="F71" s="209"/>
      <c r="G71" s="209"/>
      <c r="H71" s="209"/>
      <c r="I71" s="209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spans="2:24">
      <c r="B72" s="16"/>
      <c r="C72" s="16"/>
      <c r="D72" s="16"/>
      <c r="E72" s="16"/>
      <c r="F72" s="209"/>
      <c r="G72" s="209"/>
      <c r="H72" s="209"/>
      <c r="I72" s="209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spans="2:24">
      <c r="B73" s="16"/>
      <c r="C73" s="16"/>
      <c r="D73" s="16"/>
      <c r="E73" s="16"/>
      <c r="F73" s="209"/>
      <c r="G73" s="209"/>
      <c r="H73" s="209"/>
      <c r="I73" s="209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spans="2:24">
      <c r="B74" s="16"/>
      <c r="C74" s="16"/>
      <c r="D74" s="16"/>
      <c r="E74" s="16"/>
      <c r="F74" s="209"/>
      <c r="G74" s="209"/>
      <c r="H74" s="209"/>
      <c r="I74" s="209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spans="2:24">
      <c r="B75" s="16"/>
      <c r="C75" s="16"/>
      <c r="D75" s="16"/>
      <c r="E75" s="16"/>
      <c r="F75" s="209"/>
      <c r="G75" s="209"/>
      <c r="H75" s="209"/>
      <c r="I75" s="209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spans="2:24">
      <c r="B76" s="16"/>
      <c r="C76" s="16"/>
      <c r="D76" s="16"/>
      <c r="E76" s="16"/>
      <c r="F76" s="209"/>
      <c r="G76" s="209"/>
      <c r="H76" s="209"/>
      <c r="I76" s="209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spans="2:24">
      <c r="B77" s="16"/>
      <c r="C77" s="16"/>
      <c r="D77" s="16"/>
      <c r="E77" s="16"/>
      <c r="F77" s="209"/>
      <c r="G77" s="209"/>
      <c r="H77" s="209"/>
      <c r="I77" s="209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spans="2:24">
      <c r="B78" s="16"/>
      <c r="C78" s="16"/>
      <c r="D78" s="16"/>
      <c r="E78" s="16"/>
      <c r="F78" s="209"/>
      <c r="G78" s="209"/>
      <c r="H78" s="209"/>
      <c r="I78" s="209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spans="2:24">
      <c r="B79" s="16"/>
      <c r="C79" s="16"/>
      <c r="D79" s="16"/>
      <c r="E79" s="16"/>
      <c r="F79" s="209"/>
      <c r="G79" s="209"/>
      <c r="H79" s="209"/>
      <c r="I79" s="209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spans="2:24">
      <c r="B80" s="16"/>
      <c r="C80" s="16"/>
      <c r="D80" s="16"/>
      <c r="E80" s="16"/>
      <c r="F80" s="209"/>
      <c r="G80" s="209"/>
      <c r="H80" s="209"/>
      <c r="I80" s="209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spans="2:24">
      <c r="B81" s="16"/>
      <c r="C81" s="16"/>
      <c r="D81" s="16"/>
      <c r="E81" s="16"/>
      <c r="F81" s="209"/>
      <c r="G81" s="209"/>
      <c r="H81" s="209"/>
      <c r="I81" s="209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2:24">
      <c r="B82" s="16"/>
      <c r="C82" s="16"/>
      <c r="D82" s="16"/>
      <c r="E82" s="16"/>
      <c r="F82" s="209"/>
      <c r="G82" s="209"/>
      <c r="H82" s="209"/>
      <c r="I82" s="209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2:24">
      <c r="B83" s="16"/>
      <c r="C83" s="16"/>
      <c r="D83" s="16"/>
      <c r="E83" s="16"/>
      <c r="F83" s="209"/>
      <c r="G83" s="209"/>
      <c r="H83" s="209"/>
      <c r="I83" s="209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2:24">
      <c r="B84" s="16"/>
      <c r="C84" s="16"/>
      <c r="D84" s="16"/>
      <c r="E84" s="16"/>
      <c r="F84" s="209"/>
      <c r="G84" s="209"/>
      <c r="H84" s="209"/>
      <c r="I84" s="209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2:24">
      <c r="B85" s="16"/>
      <c r="C85" s="16"/>
      <c r="D85" s="16"/>
      <c r="E85" s="16"/>
      <c r="F85" s="209"/>
      <c r="G85" s="209"/>
      <c r="H85" s="209"/>
      <c r="I85" s="209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2:24">
      <c r="B86" s="16"/>
      <c r="C86" s="16"/>
      <c r="D86" s="16"/>
      <c r="E86" s="16"/>
      <c r="F86" s="209"/>
      <c r="G86" s="209"/>
      <c r="H86" s="209"/>
      <c r="I86" s="209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2:24">
      <c r="B87" s="16"/>
      <c r="C87" s="16"/>
      <c r="D87" s="16"/>
      <c r="E87" s="16"/>
      <c r="F87" s="209"/>
      <c r="G87" s="209"/>
      <c r="H87" s="209"/>
      <c r="I87" s="209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2:24">
      <c r="B88" s="16"/>
      <c r="C88" s="16"/>
      <c r="D88" s="16"/>
      <c r="E88" s="16"/>
      <c r="F88" s="209"/>
      <c r="G88" s="209"/>
      <c r="H88" s="209"/>
      <c r="I88" s="209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2:24">
      <c r="B89" s="16"/>
      <c r="C89" s="16"/>
      <c r="D89" s="16"/>
      <c r="E89" s="16"/>
      <c r="F89" s="209"/>
      <c r="G89" s="209"/>
      <c r="H89" s="209"/>
      <c r="I89" s="209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2:24">
      <c r="B90" s="16"/>
      <c r="C90" s="16"/>
      <c r="D90" s="16"/>
      <c r="E90" s="16"/>
      <c r="F90" s="209"/>
      <c r="G90" s="209"/>
      <c r="H90" s="209"/>
      <c r="I90" s="209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2:24">
      <c r="B91" s="16"/>
      <c r="C91" s="16"/>
      <c r="D91" s="16"/>
      <c r="E91" s="16"/>
      <c r="F91" s="209"/>
      <c r="G91" s="209"/>
      <c r="H91" s="209"/>
      <c r="I91" s="209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2:24">
      <c r="B92" s="16"/>
      <c r="C92" s="16"/>
      <c r="D92" s="16"/>
      <c r="E92" s="16"/>
      <c r="F92" s="209"/>
      <c r="G92" s="209"/>
      <c r="H92" s="209"/>
      <c r="I92" s="209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2:24">
      <c r="B93" s="16"/>
      <c r="C93" s="16"/>
      <c r="D93" s="16"/>
      <c r="E93" s="16"/>
      <c r="F93" s="209"/>
      <c r="G93" s="209"/>
      <c r="H93" s="209"/>
      <c r="I93" s="209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2:24">
      <c r="B94" s="16"/>
      <c r="C94" s="16"/>
      <c r="D94" s="16"/>
      <c r="E94" s="16"/>
      <c r="F94" s="209"/>
      <c r="G94" s="209"/>
      <c r="H94" s="209"/>
      <c r="I94" s="209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2:24">
      <c r="B95" s="16"/>
      <c r="C95" s="16"/>
      <c r="D95" s="16"/>
      <c r="E95" s="16"/>
      <c r="F95" s="209"/>
      <c r="G95" s="209"/>
      <c r="H95" s="209"/>
      <c r="I95" s="209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2:24">
      <c r="B96" s="16"/>
      <c r="C96" s="16"/>
      <c r="D96" s="16"/>
      <c r="E96" s="16"/>
      <c r="F96" s="209"/>
      <c r="G96" s="209"/>
      <c r="H96" s="209"/>
      <c r="I96" s="209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2:24">
      <c r="B97" s="16"/>
      <c r="C97" s="16"/>
      <c r="D97" s="16"/>
      <c r="E97" s="16"/>
      <c r="F97" s="209"/>
      <c r="G97" s="209"/>
      <c r="H97" s="209"/>
      <c r="I97" s="209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2:24">
      <c r="B98" s="16"/>
      <c r="C98" s="16"/>
      <c r="D98" s="16"/>
      <c r="E98" s="16"/>
      <c r="F98" s="209"/>
      <c r="G98" s="209"/>
      <c r="H98" s="209"/>
      <c r="I98" s="209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2:24">
      <c r="B99" s="16"/>
      <c r="C99" s="16"/>
      <c r="D99" s="16"/>
      <c r="E99" s="16"/>
      <c r="F99" s="209"/>
      <c r="G99" s="209"/>
      <c r="H99" s="209"/>
      <c r="I99" s="209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2:24">
      <c r="B100" s="16"/>
      <c r="C100" s="16"/>
      <c r="D100" s="16"/>
      <c r="E100" s="16"/>
      <c r="F100" s="209"/>
      <c r="G100" s="209"/>
      <c r="H100" s="209"/>
      <c r="I100" s="209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2:24">
      <c r="B101" s="16"/>
      <c r="C101" s="16"/>
      <c r="D101" s="16"/>
      <c r="E101" s="16"/>
      <c r="F101" s="209"/>
      <c r="G101" s="209"/>
      <c r="H101" s="209"/>
      <c r="I101" s="209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2:24">
      <c r="B102" s="16"/>
      <c r="C102" s="16"/>
      <c r="D102" s="16"/>
      <c r="E102" s="16"/>
      <c r="F102" s="209"/>
      <c r="G102" s="209"/>
      <c r="H102" s="209"/>
      <c r="I102" s="209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2:24">
      <c r="B103" s="16"/>
      <c r="C103" s="16"/>
      <c r="D103" s="16"/>
      <c r="E103" s="16"/>
      <c r="F103" s="209"/>
      <c r="G103" s="209"/>
      <c r="H103" s="209"/>
      <c r="I103" s="209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2:24">
      <c r="B104" s="16"/>
      <c r="C104" s="16"/>
      <c r="D104" s="16"/>
      <c r="E104" s="16"/>
      <c r="F104" s="209"/>
      <c r="G104" s="209"/>
      <c r="H104" s="209"/>
      <c r="I104" s="209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2:24">
      <c r="B105" s="16"/>
      <c r="C105" s="16"/>
      <c r="D105" s="16"/>
      <c r="E105" s="16"/>
      <c r="F105" s="209"/>
      <c r="G105" s="209"/>
      <c r="H105" s="209"/>
      <c r="I105" s="209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2:24">
      <c r="B106" s="16"/>
      <c r="C106" s="16"/>
      <c r="D106" s="16"/>
      <c r="E106" s="16"/>
      <c r="F106" s="209"/>
      <c r="G106" s="209"/>
      <c r="H106" s="209"/>
      <c r="I106" s="209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2:24">
      <c r="B107" s="16"/>
      <c r="C107" s="16"/>
      <c r="D107" s="16"/>
      <c r="E107" s="16"/>
      <c r="F107" s="209"/>
      <c r="G107" s="209"/>
      <c r="H107" s="209"/>
      <c r="I107" s="209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2:24">
      <c r="B108" s="16"/>
      <c r="C108" s="16"/>
      <c r="D108" s="16"/>
      <c r="E108" s="16"/>
      <c r="F108" s="209"/>
      <c r="G108" s="209"/>
      <c r="H108" s="209"/>
      <c r="I108" s="209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2:24">
      <c r="B109" s="16"/>
      <c r="C109" s="16"/>
      <c r="D109" s="16"/>
      <c r="E109" s="16"/>
      <c r="F109" s="209"/>
      <c r="G109" s="209"/>
      <c r="H109" s="209"/>
      <c r="I109" s="209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2:24">
      <c r="B110" s="16"/>
      <c r="C110" s="16"/>
      <c r="D110" s="16"/>
      <c r="E110" s="16"/>
      <c r="F110" s="209"/>
      <c r="G110" s="209"/>
      <c r="H110" s="209"/>
      <c r="I110" s="209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2:24">
      <c r="B111" s="16"/>
      <c r="C111" s="16"/>
      <c r="D111" s="16"/>
      <c r="E111" s="16"/>
      <c r="F111" s="209"/>
      <c r="G111" s="209"/>
      <c r="H111" s="209"/>
      <c r="I111" s="209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2:24">
      <c r="B112" s="16"/>
      <c r="C112" s="16"/>
      <c r="D112" s="16"/>
      <c r="E112" s="16"/>
      <c r="F112" s="209"/>
      <c r="G112" s="209"/>
      <c r="H112" s="209"/>
      <c r="I112" s="209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2:24">
      <c r="B113" s="16"/>
      <c r="C113" s="16"/>
      <c r="D113" s="16"/>
      <c r="E113" s="16"/>
      <c r="F113" s="209"/>
      <c r="G113" s="209"/>
      <c r="H113" s="209"/>
      <c r="I113" s="209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2:24">
      <c r="B114" s="16"/>
      <c r="C114" s="16"/>
      <c r="D114" s="16"/>
      <c r="E114" s="16"/>
      <c r="F114" s="209"/>
      <c r="G114" s="209"/>
      <c r="H114" s="209"/>
      <c r="I114" s="209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2:24">
      <c r="B115" s="16"/>
      <c r="C115" s="16"/>
      <c r="D115" s="16"/>
      <c r="E115" s="16"/>
      <c r="F115" s="209"/>
      <c r="G115" s="209"/>
      <c r="H115" s="209"/>
      <c r="I115" s="209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2:24">
      <c r="B116" s="16"/>
      <c r="C116" s="16"/>
      <c r="D116" s="16"/>
      <c r="E116" s="16"/>
      <c r="F116" s="209"/>
      <c r="G116" s="209"/>
      <c r="H116" s="209"/>
      <c r="I116" s="209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2:24">
      <c r="B117" s="16"/>
      <c r="C117" s="16"/>
      <c r="D117" s="16"/>
      <c r="E117" s="16"/>
      <c r="F117" s="209"/>
      <c r="G117" s="209"/>
      <c r="H117" s="209"/>
      <c r="I117" s="209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2:24">
      <c r="B118" s="16"/>
      <c r="C118" s="16"/>
      <c r="D118" s="16"/>
      <c r="E118" s="16"/>
      <c r="F118" s="209"/>
      <c r="G118" s="209"/>
      <c r="H118" s="209"/>
      <c r="I118" s="209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2:24">
      <c r="B119" s="16"/>
      <c r="C119" s="16"/>
      <c r="D119" s="16"/>
      <c r="E119" s="16"/>
      <c r="F119" s="209"/>
      <c r="G119" s="209"/>
      <c r="H119" s="209"/>
      <c r="I119" s="209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2:24">
      <c r="B120" s="16"/>
      <c r="C120" s="16"/>
      <c r="D120" s="16"/>
      <c r="E120" s="16"/>
      <c r="F120" s="209"/>
      <c r="G120" s="209"/>
      <c r="H120" s="209"/>
      <c r="I120" s="209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2:24">
      <c r="B121" s="16"/>
      <c r="C121" s="16"/>
      <c r="D121" s="16"/>
      <c r="E121" s="16"/>
      <c r="F121" s="209"/>
      <c r="G121" s="209"/>
      <c r="H121" s="209"/>
      <c r="I121" s="209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2:24">
      <c r="B122" s="16"/>
      <c r="C122" s="16"/>
      <c r="D122" s="16"/>
      <c r="E122" s="16"/>
      <c r="F122" s="209"/>
      <c r="G122" s="209"/>
      <c r="H122" s="209"/>
      <c r="I122" s="209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2:24">
      <c r="B123" s="16"/>
      <c r="C123" s="16"/>
      <c r="D123" s="16"/>
      <c r="E123" s="16"/>
      <c r="F123" s="209"/>
      <c r="G123" s="209"/>
      <c r="H123" s="209"/>
      <c r="I123" s="209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2:24">
      <c r="B124" s="16"/>
      <c r="C124" s="16"/>
      <c r="D124" s="16"/>
      <c r="E124" s="16"/>
      <c r="F124" s="209"/>
      <c r="G124" s="209"/>
      <c r="H124" s="209"/>
      <c r="I124" s="209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2:24">
      <c r="B125" s="16"/>
      <c r="C125" s="16"/>
      <c r="D125" s="16"/>
      <c r="E125" s="16"/>
      <c r="F125" s="209"/>
      <c r="G125" s="209"/>
      <c r="H125" s="209"/>
      <c r="I125" s="209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2:24">
      <c r="B126" s="16"/>
      <c r="C126" s="16"/>
      <c r="D126" s="16"/>
      <c r="E126" s="16"/>
      <c r="F126" s="209"/>
      <c r="G126" s="209"/>
      <c r="H126" s="209"/>
      <c r="I126" s="209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2:24">
      <c r="B127" s="16"/>
      <c r="C127" s="16"/>
      <c r="D127" s="16"/>
      <c r="E127" s="16"/>
      <c r="F127" s="209"/>
      <c r="G127" s="209"/>
      <c r="H127" s="209"/>
      <c r="I127" s="209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2:24">
      <c r="B128" s="16"/>
      <c r="C128" s="16"/>
      <c r="D128" s="16"/>
      <c r="E128" s="16"/>
      <c r="F128" s="209"/>
      <c r="G128" s="209"/>
      <c r="H128" s="209"/>
      <c r="I128" s="209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2:24">
      <c r="B129" s="16"/>
      <c r="C129" s="16"/>
      <c r="D129" s="16"/>
      <c r="E129" s="16"/>
      <c r="F129" s="209"/>
      <c r="G129" s="209"/>
      <c r="H129" s="209"/>
      <c r="I129" s="209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2:24">
      <c r="B130" s="16"/>
      <c r="C130" s="16"/>
      <c r="D130" s="16"/>
      <c r="E130" s="16"/>
      <c r="F130" s="209"/>
      <c r="G130" s="209"/>
      <c r="H130" s="209"/>
      <c r="I130" s="209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2:24">
      <c r="B131" s="16"/>
      <c r="C131" s="16"/>
      <c r="D131" s="16"/>
      <c r="E131" s="16"/>
      <c r="F131" s="209"/>
      <c r="G131" s="209"/>
      <c r="H131" s="209"/>
      <c r="I131" s="209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2:24">
      <c r="B132" s="16"/>
      <c r="C132" s="16"/>
      <c r="D132" s="16"/>
      <c r="E132" s="16"/>
      <c r="F132" s="209"/>
      <c r="G132" s="209"/>
      <c r="H132" s="209"/>
      <c r="I132" s="209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2:24">
      <c r="B133" s="16"/>
      <c r="C133" s="16"/>
      <c r="D133" s="16"/>
      <c r="E133" s="16"/>
      <c r="F133" s="209"/>
      <c r="G133" s="209"/>
      <c r="H133" s="209"/>
      <c r="I133" s="209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2:24">
      <c r="B134" s="16"/>
      <c r="C134" s="16"/>
      <c r="D134" s="16"/>
      <c r="E134" s="16"/>
      <c r="F134" s="209"/>
      <c r="G134" s="209"/>
      <c r="H134" s="209"/>
      <c r="I134" s="209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2:24">
      <c r="B135" s="16"/>
      <c r="C135" s="16"/>
      <c r="D135" s="16"/>
      <c r="E135" s="16"/>
      <c r="F135" s="209"/>
      <c r="G135" s="209"/>
      <c r="H135" s="209"/>
      <c r="I135" s="209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2:24">
      <c r="B136" s="16"/>
      <c r="C136" s="16"/>
      <c r="D136" s="16"/>
      <c r="E136" s="16"/>
      <c r="F136" s="209"/>
      <c r="G136" s="209"/>
      <c r="H136" s="209"/>
      <c r="I136" s="209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2:24">
      <c r="B137" s="16"/>
      <c r="C137" s="16"/>
      <c r="D137" s="16"/>
      <c r="E137" s="16"/>
      <c r="F137" s="209"/>
      <c r="G137" s="209"/>
      <c r="H137" s="209"/>
      <c r="I137" s="209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2:24">
      <c r="B138" s="16"/>
      <c r="C138" s="16"/>
      <c r="D138" s="16"/>
      <c r="E138" s="16"/>
      <c r="F138" s="209"/>
      <c r="G138" s="209"/>
      <c r="H138" s="209"/>
      <c r="I138" s="209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2:24">
      <c r="B139" s="16"/>
      <c r="C139" s="16"/>
      <c r="D139" s="16"/>
      <c r="E139" s="16"/>
      <c r="F139" s="209"/>
      <c r="G139" s="209"/>
      <c r="H139" s="209"/>
      <c r="I139" s="209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2:24">
      <c r="B140" s="16"/>
      <c r="C140" s="16"/>
      <c r="D140" s="16"/>
      <c r="E140" s="16"/>
      <c r="F140" s="209"/>
      <c r="G140" s="209"/>
      <c r="H140" s="209"/>
      <c r="I140" s="209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2:24">
      <c r="B141" s="16"/>
      <c r="C141" s="16"/>
      <c r="D141" s="16"/>
      <c r="E141" s="16"/>
      <c r="F141" s="209"/>
      <c r="G141" s="209"/>
      <c r="H141" s="209"/>
      <c r="I141" s="209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2:24">
      <c r="B142" s="16"/>
      <c r="C142" s="16"/>
      <c r="D142" s="16"/>
      <c r="E142" s="16"/>
      <c r="F142" s="209"/>
      <c r="G142" s="209"/>
      <c r="H142" s="209"/>
      <c r="I142" s="209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2:24">
      <c r="B143" s="16"/>
      <c r="C143" s="16"/>
      <c r="D143" s="16"/>
      <c r="E143" s="16"/>
      <c r="F143" s="209"/>
      <c r="G143" s="209"/>
      <c r="H143" s="209"/>
      <c r="I143" s="209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2:24">
      <c r="B144" s="16"/>
      <c r="C144" s="16"/>
      <c r="D144" s="16"/>
      <c r="E144" s="16"/>
      <c r="F144" s="209"/>
      <c r="G144" s="209"/>
      <c r="H144" s="209"/>
      <c r="I144" s="209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2:24">
      <c r="B145" s="16"/>
      <c r="C145" s="16"/>
      <c r="D145" s="16"/>
      <c r="E145" s="16"/>
      <c r="F145" s="209"/>
      <c r="G145" s="209"/>
      <c r="H145" s="209"/>
      <c r="I145" s="209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2:24">
      <c r="B146" s="16"/>
      <c r="C146" s="16"/>
      <c r="D146" s="16"/>
      <c r="E146" s="16"/>
      <c r="F146" s="209"/>
      <c r="G146" s="209"/>
      <c r="H146" s="209"/>
      <c r="I146" s="209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2:24">
      <c r="B147" s="16"/>
      <c r="C147" s="16"/>
      <c r="D147" s="16"/>
      <c r="E147" s="16"/>
      <c r="F147" s="209"/>
      <c r="G147" s="209"/>
      <c r="H147" s="209"/>
      <c r="I147" s="209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2:24">
      <c r="B148" s="16"/>
      <c r="C148" s="16"/>
      <c r="D148" s="16"/>
      <c r="E148" s="16"/>
      <c r="F148" s="209"/>
      <c r="G148" s="209"/>
      <c r="H148" s="209"/>
      <c r="I148" s="209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2:24">
      <c r="B149" s="16"/>
      <c r="C149" s="16"/>
      <c r="D149" s="16"/>
      <c r="E149" s="16"/>
      <c r="F149" s="209"/>
      <c r="G149" s="209"/>
      <c r="H149" s="209"/>
      <c r="I149" s="209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2:24">
      <c r="B150" s="16"/>
      <c r="C150" s="16"/>
      <c r="D150" s="16"/>
      <c r="E150" s="16"/>
      <c r="F150" s="209"/>
      <c r="G150" s="209"/>
      <c r="H150" s="209"/>
      <c r="I150" s="209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2:24">
      <c r="B151" s="16"/>
      <c r="C151" s="16"/>
      <c r="D151" s="16"/>
      <c r="E151" s="16"/>
      <c r="F151" s="209"/>
      <c r="G151" s="209"/>
      <c r="H151" s="209"/>
      <c r="I151" s="209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2:24">
      <c r="B152" s="16"/>
      <c r="C152" s="16"/>
      <c r="D152" s="16"/>
      <c r="E152" s="16"/>
      <c r="F152" s="209"/>
      <c r="G152" s="209"/>
      <c r="H152" s="209"/>
      <c r="I152" s="209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2:24">
      <c r="B153" s="16"/>
      <c r="C153" s="16"/>
      <c r="D153" s="16"/>
      <c r="E153" s="16"/>
      <c r="F153" s="209"/>
      <c r="G153" s="209"/>
      <c r="H153" s="209"/>
      <c r="I153" s="209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2:24">
      <c r="B154" s="16"/>
      <c r="C154" s="16"/>
      <c r="D154" s="16"/>
      <c r="E154" s="16"/>
      <c r="F154" s="209"/>
      <c r="G154" s="209"/>
      <c r="H154" s="209"/>
      <c r="I154" s="209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2:24">
      <c r="B155" s="16"/>
      <c r="C155" s="16"/>
      <c r="D155" s="16"/>
      <c r="E155" s="16"/>
      <c r="F155" s="209"/>
      <c r="G155" s="209"/>
      <c r="H155" s="209"/>
      <c r="I155" s="209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2:24">
      <c r="B156" s="16"/>
      <c r="C156" s="16"/>
      <c r="D156" s="16"/>
      <c r="E156" s="16"/>
      <c r="F156" s="209"/>
      <c r="G156" s="209"/>
      <c r="H156" s="209"/>
      <c r="I156" s="209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2:24">
      <c r="B157" s="16"/>
      <c r="C157" s="16"/>
      <c r="D157" s="16"/>
      <c r="E157" s="16"/>
      <c r="F157" s="209"/>
      <c r="G157" s="209"/>
      <c r="H157" s="209"/>
      <c r="I157" s="209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2:24">
      <c r="B158" s="16"/>
      <c r="C158" s="16"/>
      <c r="D158" s="16"/>
      <c r="E158" s="16"/>
      <c r="F158" s="209"/>
      <c r="G158" s="209"/>
      <c r="H158" s="209"/>
      <c r="I158" s="209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2:24">
      <c r="B159" s="16"/>
      <c r="C159" s="16"/>
      <c r="D159" s="16"/>
      <c r="E159" s="16"/>
      <c r="F159" s="209"/>
      <c r="G159" s="209"/>
      <c r="H159" s="209"/>
      <c r="I159" s="209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2:24">
      <c r="B160" s="16"/>
      <c r="C160" s="16"/>
      <c r="D160" s="16"/>
      <c r="E160" s="16"/>
      <c r="F160" s="209"/>
      <c r="G160" s="209"/>
      <c r="H160" s="209"/>
      <c r="I160" s="209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2:24">
      <c r="B161" s="16"/>
      <c r="C161" s="16"/>
      <c r="D161" s="16"/>
      <c r="E161" s="16"/>
      <c r="F161" s="209"/>
      <c r="G161" s="209"/>
      <c r="H161" s="209"/>
      <c r="I161" s="209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2:24">
      <c r="B162" s="16"/>
      <c r="C162" s="16"/>
      <c r="D162" s="16"/>
      <c r="E162" s="16"/>
      <c r="F162" s="209"/>
      <c r="G162" s="209"/>
      <c r="H162" s="209"/>
      <c r="I162" s="209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2:24">
      <c r="B163" s="16"/>
      <c r="C163" s="16"/>
      <c r="D163" s="16"/>
      <c r="E163" s="16"/>
      <c r="F163" s="209"/>
      <c r="G163" s="209"/>
      <c r="H163" s="209"/>
      <c r="I163" s="209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2:24">
      <c r="B164" s="16"/>
      <c r="C164" s="16"/>
      <c r="D164" s="16"/>
      <c r="E164" s="16"/>
      <c r="F164" s="209"/>
      <c r="G164" s="209"/>
      <c r="H164" s="209"/>
      <c r="I164" s="209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2:24">
      <c r="B165" s="16"/>
      <c r="C165" s="16"/>
      <c r="D165" s="16"/>
      <c r="E165" s="16"/>
      <c r="F165" s="209"/>
      <c r="G165" s="209"/>
      <c r="H165" s="209"/>
      <c r="I165" s="209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2:24">
      <c r="B166" s="16"/>
      <c r="C166" s="16"/>
      <c r="D166" s="16"/>
      <c r="E166" s="16"/>
      <c r="F166" s="209"/>
      <c r="G166" s="209"/>
      <c r="H166" s="209"/>
      <c r="I166" s="209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2:24">
      <c r="B167" s="16"/>
      <c r="C167" s="16"/>
      <c r="D167" s="16"/>
      <c r="E167" s="16"/>
      <c r="F167" s="209"/>
      <c r="G167" s="209"/>
      <c r="H167" s="209"/>
      <c r="I167" s="209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2:24">
      <c r="B168" s="16"/>
      <c r="C168" s="16"/>
      <c r="D168" s="16"/>
      <c r="E168" s="16"/>
      <c r="F168" s="209"/>
      <c r="G168" s="209"/>
      <c r="H168" s="209"/>
      <c r="I168" s="209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2:24">
      <c r="B169" s="16"/>
      <c r="C169" s="16"/>
      <c r="D169" s="16"/>
      <c r="E169" s="16"/>
      <c r="F169" s="209"/>
      <c r="G169" s="209"/>
      <c r="H169" s="209"/>
      <c r="I169" s="209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2:24">
      <c r="B170" s="16"/>
      <c r="C170" s="16"/>
      <c r="D170" s="16"/>
      <c r="E170" s="16"/>
      <c r="F170" s="209"/>
      <c r="G170" s="209"/>
      <c r="H170" s="209"/>
      <c r="I170" s="209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2:24">
      <c r="B171" s="16"/>
      <c r="C171" s="16"/>
      <c r="D171" s="16"/>
      <c r="E171" s="16"/>
      <c r="F171" s="209"/>
      <c r="G171" s="209"/>
      <c r="H171" s="209"/>
      <c r="I171" s="209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2:24">
      <c r="B172" s="16"/>
      <c r="C172" s="16"/>
      <c r="D172" s="16"/>
      <c r="E172" s="16"/>
      <c r="F172" s="209"/>
      <c r="G172" s="209"/>
      <c r="H172" s="209"/>
      <c r="I172" s="209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2:24">
      <c r="B173" s="16"/>
      <c r="C173" s="16"/>
      <c r="D173" s="16"/>
      <c r="E173" s="16"/>
      <c r="F173" s="209"/>
      <c r="G173" s="209"/>
      <c r="H173" s="209"/>
      <c r="I173" s="209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2:24">
      <c r="B174" s="16"/>
      <c r="C174" s="16"/>
      <c r="D174" s="16"/>
      <c r="E174" s="16"/>
      <c r="F174" s="209"/>
      <c r="G174" s="209"/>
      <c r="H174" s="209"/>
      <c r="I174" s="209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2:24">
      <c r="B175" s="16"/>
      <c r="C175" s="16"/>
      <c r="D175" s="16"/>
      <c r="E175" s="16"/>
      <c r="F175" s="209"/>
      <c r="G175" s="209"/>
      <c r="H175" s="209"/>
      <c r="I175" s="209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2:24">
      <c r="B176" s="16"/>
      <c r="C176" s="16"/>
      <c r="D176" s="16"/>
      <c r="E176" s="16"/>
      <c r="F176" s="209"/>
      <c r="G176" s="209"/>
      <c r="H176" s="209"/>
      <c r="I176" s="209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2:24">
      <c r="B177" s="16"/>
      <c r="C177" s="16"/>
      <c r="D177" s="16"/>
      <c r="E177" s="16"/>
      <c r="F177" s="209"/>
      <c r="G177" s="209"/>
      <c r="H177" s="209"/>
      <c r="I177" s="209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2:24">
      <c r="B178" s="16"/>
      <c r="C178" s="16"/>
      <c r="D178" s="16"/>
      <c r="E178" s="16"/>
      <c r="F178" s="209"/>
      <c r="G178" s="209"/>
      <c r="H178" s="209"/>
      <c r="I178" s="209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2:24">
      <c r="B179" s="16"/>
      <c r="C179" s="16"/>
      <c r="D179" s="16"/>
      <c r="E179" s="16"/>
      <c r="F179" s="209"/>
      <c r="G179" s="209"/>
      <c r="H179" s="209"/>
      <c r="I179" s="209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2:24">
      <c r="B180" s="16"/>
      <c r="C180" s="16"/>
      <c r="D180" s="16"/>
      <c r="E180" s="16"/>
      <c r="F180" s="209"/>
      <c r="G180" s="209"/>
      <c r="H180" s="209"/>
      <c r="I180" s="209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2:24">
      <c r="B181" s="16"/>
      <c r="C181" s="16"/>
      <c r="D181" s="16"/>
      <c r="E181" s="16"/>
      <c r="F181" s="209"/>
      <c r="G181" s="209"/>
      <c r="H181" s="209"/>
      <c r="I181" s="209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2:24">
      <c r="B182" s="16"/>
      <c r="C182" s="16"/>
      <c r="D182" s="16"/>
      <c r="E182" s="16"/>
      <c r="F182" s="209"/>
      <c r="G182" s="209"/>
      <c r="H182" s="209"/>
      <c r="I182" s="209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2:24">
      <c r="B183" s="16"/>
      <c r="C183" s="16"/>
      <c r="D183" s="16"/>
      <c r="E183" s="16"/>
      <c r="F183" s="209"/>
      <c r="G183" s="209"/>
      <c r="H183" s="209"/>
      <c r="I183" s="209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2:24">
      <c r="B184" s="16"/>
      <c r="C184" s="16"/>
      <c r="D184" s="16"/>
      <c r="E184" s="16"/>
      <c r="F184" s="209"/>
      <c r="G184" s="209"/>
      <c r="H184" s="209"/>
      <c r="I184" s="209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2:24">
      <c r="B185" s="16"/>
      <c r="C185" s="16"/>
      <c r="D185" s="16"/>
      <c r="E185" s="16"/>
      <c r="F185" s="209"/>
      <c r="G185" s="209"/>
      <c r="H185" s="209"/>
      <c r="I185" s="209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2:24">
      <c r="B186" s="16"/>
      <c r="C186" s="16"/>
      <c r="D186" s="16"/>
      <c r="E186" s="16"/>
      <c r="F186" s="209"/>
      <c r="G186" s="209"/>
      <c r="H186" s="209"/>
      <c r="I186" s="209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2:24">
      <c r="B187" s="16"/>
      <c r="C187" s="16"/>
      <c r="D187" s="16"/>
      <c r="E187" s="16"/>
      <c r="F187" s="209"/>
      <c r="G187" s="209"/>
      <c r="H187" s="209"/>
      <c r="I187" s="209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2:24">
      <c r="B188" s="16"/>
      <c r="C188" s="16"/>
      <c r="D188" s="16"/>
      <c r="E188" s="16"/>
      <c r="F188" s="209"/>
      <c r="G188" s="209"/>
      <c r="H188" s="209"/>
      <c r="I188" s="209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2:24">
      <c r="B189" s="16"/>
      <c r="C189" s="16"/>
      <c r="D189" s="16"/>
      <c r="E189" s="16"/>
      <c r="F189" s="209"/>
      <c r="G189" s="209"/>
      <c r="H189" s="209"/>
      <c r="I189" s="209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2:24">
      <c r="B190" s="16"/>
      <c r="C190" s="16"/>
      <c r="D190" s="16"/>
      <c r="E190" s="16"/>
      <c r="F190" s="209"/>
      <c r="G190" s="209"/>
      <c r="H190" s="209"/>
      <c r="I190" s="209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2:24">
      <c r="B191" s="16"/>
      <c r="C191" s="16"/>
      <c r="D191" s="16"/>
      <c r="E191" s="16"/>
      <c r="F191" s="209"/>
      <c r="G191" s="209"/>
      <c r="H191" s="209"/>
      <c r="I191" s="209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2:24">
      <c r="B192" s="16"/>
      <c r="C192" s="16"/>
      <c r="D192" s="16"/>
      <c r="E192" s="16"/>
      <c r="F192" s="209"/>
      <c r="G192" s="209"/>
      <c r="H192" s="209"/>
      <c r="I192" s="209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2:24">
      <c r="B193" s="16"/>
      <c r="C193" s="16"/>
      <c r="D193" s="16"/>
      <c r="E193" s="16"/>
      <c r="F193" s="209"/>
      <c r="G193" s="209"/>
      <c r="H193" s="209"/>
      <c r="I193" s="209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2:24">
      <c r="B194" s="16"/>
      <c r="C194" s="16"/>
      <c r="D194" s="16"/>
      <c r="E194" s="16"/>
      <c r="F194" s="209"/>
      <c r="G194" s="209"/>
      <c r="H194" s="209"/>
      <c r="I194" s="209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2:24">
      <c r="B195" s="16"/>
      <c r="C195" s="16"/>
      <c r="D195" s="16"/>
      <c r="E195" s="16"/>
      <c r="F195" s="209"/>
      <c r="G195" s="209"/>
      <c r="H195" s="209"/>
      <c r="I195" s="209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2:24">
      <c r="B196" s="16"/>
      <c r="C196" s="16"/>
      <c r="D196" s="16"/>
      <c r="E196" s="16"/>
      <c r="F196" s="209"/>
      <c r="G196" s="209"/>
      <c r="H196" s="209"/>
      <c r="I196" s="209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2:24">
      <c r="B197" s="16"/>
      <c r="C197" s="16"/>
      <c r="D197" s="16"/>
      <c r="E197" s="16"/>
      <c r="F197" s="209"/>
      <c r="G197" s="209"/>
      <c r="H197" s="209"/>
      <c r="I197" s="209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2:24">
      <c r="B198" s="16"/>
      <c r="C198" s="16"/>
      <c r="D198" s="16"/>
      <c r="E198" s="16"/>
      <c r="F198" s="209"/>
      <c r="G198" s="209"/>
      <c r="H198" s="209"/>
      <c r="I198" s="209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2:24">
      <c r="B199" s="16"/>
      <c r="C199" s="16"/>
      <c r="D199" s="16"/>
      <c r="E199" s="16"/>
      <c r="F199" s="209"/>
      <c r="G199" s="209"/>
      <c r="H199" s="209"/>
      <c r="I199" s="209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2:24">
      <c r="B200" s="16"/>
      <c r="C200" s="16"/>
      <c r="D200" s="16"/>
      <c r="E200" s="16"/>
      <c r="F200" s="209"/>
      <c r="G200" s="209"/>
      <c r="H200" s="209"/>
      <c r="I200" s="209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2:24">
      <c r="B201" s="16"/>
      <c r="C201" s="16"/>
      <c r="D201" s="16"/>
      <c r="E201" s="16"/>
      <c r="F201" s="209"/>
      <c r="G201" s="209"/>
      <c r="H201" s="209"/>
      <c r="I201" s="209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2:24">
      <c r="B202" s="16"/>
      <c r="C202" s="16"/>
      <c r="D202" s="16"/>
      <c r="E202" s="16"/>
      <c r="F202" s="209"/>
      <c r="G202" s="209"/>
      <c r="H202" s="209"/>
      <c r="I202" s="209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2:24">
      <c r="B203" s="16"/>
      <c r="C203" s="16"/>
      <c r="D203" s="16"/>
      <c r="E203" s="16"/>
      <c r="F203" s="209"/>
      <c r="G203" s="209"/>
      <c r="H203" s="209"/>
      <c r="I203" s="209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2:24">
      <c r="B204" s="16"/>
      <c r="C204" s="16"/>
      <c r="D204" s="16"/>
      <c r="E204" s="16"/>
      <c r="F204" s="209"/>
      <c r="G204" s="209"/>
      <c r="H204" s="209"/>
      <c r="I204" s="209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2:24">
      <c r="B205" s="16"/>
      <c r="C205" s="16"/>
      <c r="D205" s="16"/>
      <c r="E205" s="16"/>
      <c r="F205" s="209"/>
      <c r="G205" s="209"/>
      <c r="H205" s="209"/>
      <c r="I205" s="209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2:24">
      <c r="B206" s="16"/>
      <c r="C206" s="16"/>
      <c r="D206" s="16"/>
      <c r="E206" s="16"/>
      <c r="F206" s="209"/>
      <c r="G206" s="209"/>
      <c r="H206" s="209"/>
      <c r="I206" s="209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2:24">
      <c r="B207" s="16"/>
      <c r="C207" s="16"/>
      <c r="D207" s="16"/>
      <c r="E207" s="16"/>
      <c r="F207" s="209"/>
      <c r="G207" s="209"/>
      <c r="H207" s="209"/>
      <c r="I207" s="209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2:24">
      <c r="B208" s="16"/>
      <c r="C208" s="16"/>
      <c r="D208" s="16"/>
      <c r="E208" s="16"/>
      <c r="F208" s="209"/>
      <c r="G208" s="209"/>
      <c r="H208" s="209"/>
      <c r="I208" s="209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2:24">
      <c r="B209" s="16"/>
      <c r="C209" s="16"/>
      <c r="D209" s="16"/>
      <c r="E209" s="16"/>
      <c r="F209" s="209"/>
      <c r="G209" s="209"/>
      <c r="H209" s="209"/>
      <c r="I209" s="209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2:24">
      <c r="B210" s="16"/>
      <c r="C210" s="16"/>
      <c r="D210" s="16"/>
      <c r="E210" s="16"/>
      <c r="F210" s="209"/>
      <c r="G210" s="209"/>
      <c r="H210" s="209"/>
      <c r="I210" s="209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2:24">
      <c r="B211" s="16"/>
      <c r="C211" s="16"/>
      <c r="D211" s="16"/>
      <c r="E211" s="16"/>
      <c r="F211" s="209"/>
      <c r="G211" s="209"/>
      <c r="H211" s="209"/>
      <c r="I211" s="209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2:24">
      <c r="B212" s="16"/>
      <c r="C212" s="16"/>
      <c r="D212" s="16"/>
      <c r="E212" s="16"/>
      <c r="F212" s="209"/>
      <c r="G212" s="209"/>
      <c r="H212" s="209"/>
      <c r="I212" s="209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2:24">
      <c r="B213" s="16"/>
      <c r="C213" s="16"/>
      <c r="D213" s="16"/>
      <c r="E213" s="16"/>
      <c r="F213" s="209"/>
      <c r="G213" s="209"/>
      <c r="H213" s="209"/>
      <c r="I213" s="209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2:24">
      <c r="B214" s="16"/>
      <c r="C214" s="16"/>
      <c r="D214" s="16"/>
      <c r="E214" s="16"/>
      <c r="F214" s="209"/>
      <c r="G214" s="209"/>
      <c r="H214" s="209"/>
      <c r="I214" s="209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2:24">
      <c r="B215" s="16"/>
      <c r="C215" s="16"/>
      <c r="D215" s="16"/>
      <c r="E215" s="16"/>
      <c r="F215" s="209"/>
      <c r="G215" s="209"/>
      <c r="H215" s="209"/>
      <c r="I215" s="209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2:24">
      <c r="B216" s="16"/>
      <c r="C216" s="16"/>
      <c r="D216" s="16"/>
      <c r="E216" s="16"/>
      <c r="F216" s="209"/>
      <c r="G216" s="209"/>
      <c r="H216" s="209"/>
      <c r="I216" s="209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2:24">
      <c r="B217" s="16"/>
      <c r="C217" s="16"/>
      <c r="D217" s="16"/>
      <c r="E217" s="16"/>
      <c r="F217" s="209"/>
      <c r="G217" s="209"/>
      <c r="H217" s="209"/>
      <c r="I217" s="209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2:24">
      <c r="B218" s="16"/>
      <c r="C218" s="16"/>
      <c r="D218" s="16"/>
      <c r="E218" s="16"/>
      <c r="F218" s="209"/>
      <c r="G218" s="209"/>
      <c r="H218" s="209"/>
      <c r="I218" s="209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2:24">
      <c r="B219" s="16"/>
      <c r="C219" s="16"/>
      <c r="D219" s="16"/>
      <c r="E219" s="16"/>
      <c r="F219" s="209"/>
      <c r="G219" s="209"/>
      <c r="H219" s="209"/>
      <c r="I219" s="209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2:24">
      <c r="B220" s="16"/>
      <c r="C220" s="16"/>
      <c r="D220" s="16"/>
      <c r="E220" s="16"/>
      <c r="F220" s="209"/>
      <c r="G220" s="209"/>
      <c r="H220" s="209"/>
      <c r="I220" s="209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2:24">
      <c r="B221" s="16"/>
      <c r="C221" s="16"/>
      <c r="D221" s="16"/>
      <c r="E221" s="16"/>
      <c r="F221" s="209"/>
      <c r="G221" s="209"/>
      <c r="H221" s="209"/>
      <c r="I221" s="209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2:24">
      <c r="B222" s="16"/>
      <c r="C222" s="16"/>
      <c r="D222" s="16"/>
      <c r="E222" s="16"/>
      <c r="F222" s="209"/>
      <c r="G222" s="209"/>
      <c r="H222" s="209"/>
      <c r="I222" s="209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2:24">
      <c r="B223" s="16"/>
      <c r="C223" s="16"/>
      <c r="D223" s="16"/>
      <c r="E223" s="16"/>
      <c r="F223" s="209"/>
      <c r="G223" s="209"/>
      <c r="H223" s="209"/>
      <c r="I223" s="209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2:24">
      <c r="B224" s="16"/>
      <c r="C224" s="16"/>
      <c r="D224" s="16"/>
      <c r="E224" s="16"/>
      <c r="F224" s="209"/>
      <c r="G224" s="209"/>
      <c r="H224" s="209"/>
      <c r="I224" s="209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2:24">
      <c r="B225" s="16"/>
      <c r="C225" s="16"/>
      <c r="D225" s="16"/>
      <c r="E225" s="16"/>
      <c r="F225" s="209"/>
      <c r="G225" s="209"/>
      <c r="H225" s="209"/>
      <c r="I225" s="209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2:24">
      <c r="B226" s="16"/>
      <c r="C226" s="16"/>
      <c r="D226" s="16"/>
      <c r="E226" s="16"/>
      <c r="F226" s="209"/>
      <c r="G226" s="209"/>
      <c r="H226" s="209"/>
      <c r="I226" s="209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2:24">
      <c r="B227" s="16"/>
      <c r="C227" s="16"/>
      <c r="D227" s="16"/>
      <c r="E227" s="16"/>
      <c r="F227" s="209"/>
      <c r="G227" s="209"/>
      <c r="H227" s="209"/>
      <c r="I227" s="209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2:24">
      <c r="B228" s="16"/>
      <c r="C228" s="16"/>
      <c r="D228" s="16"/>
      <c r="E228" s="16"/>
      <c r="F228" s="209"/>
      <c r="G228" s="209"/>
      <c r="H228" s="209"/>
      <c r="I228" s="209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2:24">
      <c r="B229" s="16"/>
      <c r="C229" s="16"/>
      <c r="D229" s="16"/>
      <c r="E229" s="16"/>
      <c r="F229" s="209"/>
      <c r="G229" s="209"/>
      <c r="H229" s="209"/>
      <c r="I229" s="209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2:24">
      <c r="B230" s="16"/>
      <c r="C230" s="16"/>
      <c r="D230" s="16"/>
      <c r="E230" s="16"/>
      <c r="F230" s="209"/>
      <c r="G230" s="209"/>
      <c r="H230" s="209"/>
      <c r="I230" s="209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2:24">
      <c r="B231" s="16"/>
      <c r="C231" s="16"/>
      <c r="D231" s="16"/>
      <c r="E231" s="16"/>
      <c r="F231" s="209"/>
      <c r="G231" s="209"/>
      <c r="H231" s="209"/>
      <c r="I231" s="209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2:24">
      <c r="B232" s="16"/>
      <c r="C232" s="16"/>
      <c r="D232" s="16"/>
      <c r="E232" s="16"/>
      <c r="F232" s="209"/>
      <c r="G232" s="209"/>
      <c r="H232" s="209"/>
      <c r="I232" s="209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2:24">
      <c r="B233" s="16"/>
      <c r="C233" s="16"/>
      <c r="D233" s="16"/>
      <c r="E233" s="16"/>
      <c r="F233" s="209"/>
      <c r="G233" s="209"/>
      <c r="H233" s="209"/>
      <c r="I233" s="209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 spans="2:24">
      <c r="B234" s="16"/>
      <c r="C234" s="16"/>
      <c r="D234" s="16"/>
      <c r="E234" s="16"/>
      <c r="F234" s="209"/>
      <c r="G234" s="209"/>
      <c r="H234" s="209"/>
      <c r="I234" s="209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 spans="2:24">
      <c r="B235" s="16"/>
      <c r="C235" s="16"/>
      <c r="D235" s="16"/>
      <c r="E235" s="16"/>
      <c r="F235" s="209"/>
      <c r="G235" s="209"/>
      <c r="H235" s="209"/>
      <c r="I235" s="209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 spans="2:24">
      <c r="B236" s="16"/>
      <c r="C236" s="16"/>
      <c r="D236" s="16"/>
      <c r="E236" s="16"/>
      <c r="F236" s="209"/>
      <c r="G236" s="209"/>
      <c r="H236" s="209"/>
      <c r="I236" s="209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 spans="2:24">
      <c r="B237" s="16"/>
      <c r="C237" s="16"/>
      <c r="D237" s="16"/>
      <c r="E237" s="16"/>
      <c r="F237" s="209"/>
      <c r="G237" s="209"/>
      <c r="H237" s="209"/>
      <c r="I237" s="209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 spans="2:24">
      <c r="B238" s="16"/>
      <c r="C238" s="16"/>
      <c r="D238" s="16"/>
      <c r="E238" s="16"/>
      <c r="F238" s="209"/>
      <c r="G238" s="209"/>
      <c r="H238" s="209"/>
      <c r="I238" s="209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 spans="2:24">
      <c r="B239" s="16"/>
      <c r="C239" s="16"/>
      <c r="D239" s="16"/>
      <c r="E239" s="16"/>
      <c r="F239" s="209"/>
      <c r="G239" s="209"/>
      <c r="H239" s="209"/>
      <c r="I239" s="209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 spans="2:24">
      <c r="B240" s="16"/>
      <c r="C240" s="16"/>
      <c r="D240" s="16"/>
      <c r="E240" s="16"/>
      <c r="F240" s="209"/>
      <c r="G240" s="209"/>
      <c r="H240" s="209"/>
      <c r="I240" s="209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 spans="2:24">
      <c r="B241" s="16"/>
      <c r="C241" s="16"/>
      <c r="D241" s="16"/>
      <c r="E241" s="16"/>
      <c r="F241" s="209"/>
      <c r="G241" s="209"/>
      <c r="H241" s="209"/>
      <c r="I241" s="209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 spans="2:24">
      <c r="B242" s="16"/>
      <c r="C242" s="16"/>
      <c r="D242" s="16"/>
      <c r="E242" s="16"/>
      <c r="F242" s="209"/>
      <c r="G242" s="209"/>
      <c r="H242" s="209"/>
      <c r="I242" s="209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 spans="2:24">
      <c r="B243" s="16"/>
      <c r="C243" s="16"/>
      <c r="D243" s="16"/>
      <c r="E243" s="16"/>
      <c r="F243" s="209"/>
      <c r="G243" s="209"/>
      <c r="H243" s="209"/>
      <c r="I243" s="209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 spans="2:24">
      <c r="B244" s="16"/>
      <c r="C244" s="16"/>
      <c r="D244" s="16"/>
      <c r="E244" s="16"/>
      <c r="F244" s="209"/>
      <c r="G244" s="209"/>
      <c r="H244" s="209"/>
      <c r="I244" s="209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 spans="2:24">
      <c r="B245" s="16"/>
      <c r="C245" s="16"/>
      <c r="D245" s="16"/>
      <c r="E245" s="16"/>
      <c r="F245" s="209"/>
      <c r="G245" s="209"/>
      <c r="H245" s="209"/>
      <c r="I245" s="209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 spans="2:24">
      <c r="B246" s="16"/>
      <c r="C246" s="16"/>
      <c r="D246" s="16"/>
      <c r="E246" s="16"/>
      <c r="F246" s="209"/>
      <c r="G246" s="209"/>
      <c r="H246" s="209"/>
      <c r="I246" s="209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 spans="2:24">
      <c r="B247" s="16"/>
      <c r="C247" s="16"/>
      <c r="D247" s="16"/>
      <c r="E247" s="16"/>
      <c r="F247" s="209"/>
      <c r="G247" s="209"/>
      <c r="H247" s="209"/>
      <c r="I247" s="209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 spans="2:24">
      <c r="B248" s="16"/>
      <c r="C248" s="16"/>
      <c r="D248" s="16"/>
      <c r="E248" s="16"/>
      <c r="F248" s="209"/>
      <c r="G248" s="209"/>
      <c r="H248" s="209"/>
      <c r="I248" s="209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 spans="2:24">
      <c r="B249" s="16"/>
      <c r="C249" s="16"/>
      <c r="D249" s="16"/>
      <c r="E249" s="16"/>
      <c r="F249" s="209"/>
      <c r="G249" s="209"/>
      <c r="H249" s="209"/>
      <c r="I249" s="209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 spans="2:24">
      <c r="B250" s="16"/>
      <c r="C250" s="16"/>
      <c r="D250" s="16"/>
      <c r="E250" s="16"/>
      <c r="F250" s="209"/>
      <c r="G250" s="209"/>
      <c r="H250" s="209"/>
      <c r="I250" s="209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 spans="2:24">
      <c r="B251" s="16"/>
      <c r="C251" s="16"/>
      <c r="D251" s="16"/>
      <c r="E251" s="16"/>
      <c r="F251" s="209"/>
      <c r="G251" s="209"/>
      <c r="H251" s="209"/>
      <c r="I251" s="209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 spans="2:24">
      <c r="B252" s="16"/>
      <c r="C252" s="16"/>
      <c r="D252" s="16"/>
      <c r="E252" s="16"/>
      <c r="F252" s="209"/>
      <c r="G252" s="209"/>
      <c r="H252" s="209"/>
      <c r="I252" s="209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 spans="2:24">
      <c r="B253" s="16"/>
      <c r="C253" s="16"/>
      <c r="D253" s="16"/>
      <c r="E253" s="16"/>
      <c r="F253" s="209"/>
      <c r="G253" s="209"/>
      <c r="H253" s="209"/>
      <c r="I253" s="209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 spans="2:24">
      <c r="B254" s="16"/>
      <c r="C254" s="16"/>
      <c r="D254" s="16"/>
      <c r="E254" s="16"/>
      <c r="F254" s="209"/>
      <c r="G254" s="209"/>
      <c r="H254" s="209"/>
      <c r="I254" s="209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spans="2:24">
      <c r="B255" s="16"/>
      <c r="C255" s="16"/>
      <c r="D255" s="16"/>
      <c r="E255" s="16"/>
      <c r="F255" s="209"/>
      <c r="G255" s="209"/>
      <c r="H255" s="209"/>
      <c r="I255" s="209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 spans="2:24">
      <c r="B256" s="16"/>
      <c r="C256" s="16"/>
      <c r="D256" s="16"/>
      <c r="E256" s="16"/>
      <c r="F256" s="209"/>
      <c r="G256" s="209"/>
      <c r="H256" s="209"/>
      <c r="I256" s="209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 spans="2:24">
      <c r="B257" s="16"/>
      <c r="C257" s="16"/>
      <c r="D257" s="16"/>
      <c r="E257" s="16"/>
      <c r="F257" s="209"/>
      <c r="G257" s="209"/>
      <c r="H257" s="209"/>
      <c r="I257" s="209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 spans="2:24">
      <c r="B258" s="16"/>
      <c r="C258" s="16"/>
      <c r="D258" s="16"/>
      <c r="E258" s="16"/>
      <c r="F258" s="209"/>
      <c r="G258" s="209"/>
      <c r="H258" s="209"/>
      <c r="I258" s="209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 spans="2:24">
      <c r="B259" s="16"/>
      <c r="C259" s="16"/>
      <c r="D259" s="16"/>
      <c r="E259" s="16"/>
      <c r="F259" s="209"/>
      <c r="G259" s="209"/>
      <c r="H259" s="209"/>
      <c r="I259" s="209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 spans="2:24">
      <c r="B260" s="16"/>
      <c r="C260" s="16"/>
      <c r="D260" s="16"/>
      <c r="E260" s="16"/>
      <c r="F260" s="209"/>
      <c r="G260" s="209"/>
      <c r="H260" s="209"/>
      <c r="I260" s="209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 spans="2:24">
      <c r="B261" s="16"/>
      <c r="C261" s="16"/>
      <c r="D261" s="16"/>
      <c r="E261" s="16"/>
      <c r="F261" s="209"/>
      <c r="G261" s="209"/>
      <c r="H261" s="209"/>
      <c r="I261" s="209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 spans="2:24">
      <c r="B262" s="16"/>
      <c r="C262" s="16"/>
      <c r="D262" s="16"/>
      <c r="E262" s="16"/>
      <c r="F262" s="209"/>
      <c r="G262" s="209"/>
      <c r="H262" s="209"/>
      <c r="I262" s="209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 spans="2:24">
      <c r="B263" s="16"/>
      <c r="C263" s="16"/>
      <c r="D263" s="16"/>
      <c r="E263" s="16"/>
      <c r="F263" s="209"/>
      <c r="G263" s="209"/>
      <c r="H263" s="209"/>
      <c r="I263" s="209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 spans="2:24">
      <c r="B264" s="16"/>
      <c r="C264" s="16"/>
      <c r="D264" s="16"/>
      <c r="E264" s="16"/>
      <c r="F264" s="209"/>
      <c r="G264" s="209"/>
      <c r="H264" s="209"/>
      <c r="I264" s="209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 spans="2:24">
      <c r="B265" s="16"/>
      <c r="C265" s="16"/>
      <c r="D265" s="16"/>
      <c r="E265" s="16"/>
      <c r="F265" s="209"/>
      <c r="G265" s="209"/>
      <c r="H265" s="209"/>
      <c r="I265" s="209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 spans="2:24">
      <c r="B266" s="16"/>
      <c r="C266" s="16"/>
      <c r="D266" s="16"/>
      <c r="E266" s="16"/>
      <c r="F266" s="209"/>
      <c r="G266" s="209"/>
      <c r="H266" s="209"/>
      <c r="I266" s="209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 spans="2:24">
      <c r="B267" s="16"/>
      <c r="C267" s="16"/>
      <c r="D267" s="16"/>
      <c r="E267" s="16"/>
      <c r="F267" s="209"/>
      <c r="G267" s="209"/>
      <c r="H267" s="209"/>
      <c r="I267" s="209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 spans="2:24">
      <c r="B268" s="16"/>
      <c r="C268" s="16"/>
      <c r="D268" s="16"/>
      <c r="E268" s="16"/>
      <c r="F268" s="209"/>
      <c r="G268" s="209"/>
      <c r="H268" s="209"/>
      <c r="I268" s="209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 spans="2:24">
      <c r="B269" s="16"/>
      <c r="C269" s="16"/>
      <c r="D269" s="16"/>
      <c r="E269" s="16"/>
      <c r="F269" s="209"/>
      <c r="G269" s="209"/>
      <c r="H269" s="209"/>
      <c r="I269" s="209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 spans="2:24">
      <c r="B270" s="16"/>
      <c r="C270" s="16"/>
      <c r="D270" s="16"/>
      <c r="E270" s="16"/>
      <c r="F270" s="209"/>
      <c r="G270" s="209"/>
      <c r="H270" s="209"/>
      <c r="I270" s="209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 spans="2:24">
      <c r="B271" s="16"/>
      <c r="C271" s="16"/>
      <c r="D271" s="16"/>
      <c r="E271" s="16"/>
      <c r="F271" s="209"/>
      <c r="G271" s="209"/>
      <c r="H271" s="209"/>
      <c r="I271" s="209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 spans="2:24">
      <c r="B272" s="16"/>
      <c r="C272" s="16"/>
      <c r="D272" s="16"/>
      <c r="E272" s="16"/>
      <c r="F272" s="209"/>
      <c r="G272" s="209"/>
      <c r="H272" s="209"/>
      <c r="I272" s="209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 spans="2:24">
      <c r="B273" s="16"/>
      <c r="C273" s="16"/>
      <c r="D273" s="16"/>
      <c r="E273" s="16"/>
      <c r="F273" s="209"/>
      <c r="G273" s="209"/>
      <c r="H273" s="209"/>
      <c r="I273" s="209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 spans="2:24">
      <c r="B274" s="16"/>
      <c r="C274" s="16"/>
      <c r="D274" s="16"/>
      <c r="E274" s="16"/>
      <c r="F274" s="209"/>
      <c r="G274" s="209"/>
      <c r="H274" s="209"/>
      <c r="I274" s="209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 spans="2:24">
      <c r="B275" s="16"/>
      <c r="C275" s="16"/>
      <c r="D275" s="16"/>
      <c r="E275" s="16"/>
      <c r="F275" s="209"/>
      <c r="G275" s="209"/>
      <c r="H275" s="209"/>
      <c r="I275" s="209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 spans="2:24">
      <c r="B276" s="16"/>
      <c r="C276" s="16"/>
      <c r="D276" s="16"/>
      <c r="E276" s="16"/>
      <c r="F276" s="209"/>
      <c r="G276" s="209"/>
      <c r="H276" s="209"/>
      <c r="I276" s="209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 spans="2:24">
      <c r="B277" s="16"/>
      <c r="C277" s="16"/>
      <c r="D277" s="16"/>
      <c r="E277" s="16"/>
      <c r="F277" s="209"/>
      <c r="G277" s="209"/>
      <c r="H277" s="209"/>
      <c r="I277" s="209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 spans="2:24">
      <c r="B278" s="16"/>
      <c r="C278" s="16"/>
      <c r="D278" s="16"/>
      <c r="E278" s="16"/>
      <c r="F278" s="209"/>
      <c r="G278" s="209"/>
      <c r="H278" s="209"/>
      <c r="I278" s="209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 spans="2:24">
      <c r="B279" s="16"/>
      <c r="C279" s="16"/>
      <c r="D279" s="16"/>
      <c r="E279" s="16"/>
      <c r="F279" s="209"/>
      <c r="G279" s="209"/>
      <c r="H279" s="209"/>
      <c r="I279" s="209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 spans="2:24">
      <c r="B280" s="16"/>
      <c r="C280" s="16"/>
      <c r="D280" s="16"/>
      <c r="E280" s="16"/>
      <c r="F280" s="209"/>
      <c r="G280" s="209"/>
      <c r="H280" s="209"/>
      <c r="I280" s="209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 spans="2:24">
      <c r="B281" s="16"/>
      <c r="C281" s="16"/>
      <c r="D281" s="16"/>
      <c r="E281" s="16"/>
      <c r="F281" s="209"/>
      <c r="G281" s="209"/>
      <c r="H281" s="209"/>
      <c r="I281" s="209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 spans="2:24">
      <c r="B282" s="16"/>
      <c r="C282" s="16"/>
      <c r="D282" s="16"/>
      <c r="E282" s="16"/>
      <c r="F282" s="209"/>
      <c r="G282" s="209"/>
      <c r="H282" s="209"/>
      <c r="I282" s="209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 spans="2:24">
      <c r="B283" s="16"/>
      <c r="C283" s="16"/>
      <c r="D283" s="16"/>
      <c r="E283" s="16"/>
      <c r="F283" s="209"/>
      <c r="G283" s="209"/>
      <c r="H283" s="209"/>
      <c r="I283" s="209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 spans="2:24">
      <c r="B284" s="16"/>
      <c r="C284" s="16"/>
      <c r="D284" s="16"/>
      <c r="E284" s="16"/>
      <c r="F284" s="209"/>
      <c r="G284" s="209"/>
      <c r="H284" s="209"/>
      <c r="I284" s="209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 spans="2:24">
      <c r="B285" s="16"/>
      <c r="C285" s="16"/>
      <c r="D285" s="16"/>
      <c r="E285" s="16"/>
      <c r="F285" s="209"/>
      <c r="G285" s="209"/>
      <c r="H285" s="209"/>
      <c r="I285" s="209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 spans="2:24">
      <c r="B286" s="16"/>
      <c r="C286" s="16"/>
      <c r="D286" s="16"/>
      <c r="E286" s="16"/>
      <c r="F286" s="209"/>
      <c r="G286" s="209"/>
      <c r="H286" s="209"/>
      <c r="I286" s="209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 spans="2:24">
      <c r="B287" s="16"/>
      <c r="C287" s="16"/>
      <c r="D287" s="16"/>
      <c r="E287" s="16"/>
      <c r="F287" s="209"/>
      <c r="G287" s="209"/>
      <c r="H287" s="209"/>
      <c r="I287" s="209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 spans="2:24">
      <c r="B288" s="16"/>
      <c r="C288" s="16"/>
      <c r="D288" s="16"/>
      <c r="E288" s="16"/>
      <c r="F288" s="209"/>
      <c r="G288" s="209"/>
      <c r="H288" s="209"/>
      <c r="I288" s="209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 spans="2:24">
      <c r="B289" s="16"/>
      <c r="C289" s="16"/>
      <c r="D289" s="16"/>
      <c r="E289" s="16"/>
      <c r="F289" s="209"/>
      <c r="G289" s="209"/>
      <c r="H289" s="209"/>
      <c r="I289" s="209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 spans="2:24">
      <c r="B290" s="16"/>
      <c r="C290" s="16"/>
      <c r="D290" s="16"/>
      <c r="E290" s="16"/>
      <c r="F290" s="209"/>
      <c r="G290" s="209"/>
      <c r="H290" s="209"/>
      <c r="I290" s="209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 spans="2:24">
      <c r="B291" s="16"/>
      <c r="C291" s="16"/>
      <c r="D291" s="16"/>
      <c r="E291" s="16"/>
      <c r="F291" s="209"/>
      <c r="G291" s="209"/>
      <c r="H291" s="209"/>
      <c r="I291" s="209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 spans="2:24">
      <c r="B292" s="16"/>
      <c r="C292" s="16"/>
      <c r="D292" s="16"/>
      <c r="E292" s="16"/>
      <c r="F292" s="209"/>
      <c r="G292" s="209"/>
      <c r="H292" s="209"/>
      <c r="I292" s="209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 spans="2:24">
      <c r="B293" s="16"/>
      <c r="C293" s="16"/>
      <c r="D293" s="16"/>
      <c r="E293" s="16"/>
      <c r="F293" s="209"/>
      <c r="G293" s="209"/>
      <c r="H293" s="209"/>
      <c r="I293" s="209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 spans="2:24">
      <c r="B294" s="16"/>
      <c r="C294" s="16"/>
      <c r="D294" s="16"/>
      <c r="E294" s="16"/>
      <c r="F294" s="209"/>
      <c r="G294" s="209"/>
      <c r="H294" s="209"/>
      <c r="I294" s="209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 spans="2:24">
      <c r="B295" s="16"/>
      <c r="C295" s="16"/>
      <c r="D295" s="16"/>
      <c r="E295" s="16"/>
      <c r="F295" s="209"/>
      <c r="G295" s="209"/>
      <c r="H295" s="209"/>
      <c r="I295" s="209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 spans="2:24">
      <c r="B296" s="16"/>
      <c r="C296" s="16"/>
      <c r="D296" s="16"/>
      <c r="E296" s="16"/>
      <c r="F296" s="209"/>
      <c r="G296" s="209"/>
      <c r="H296" s="209"/>
      <c r="I296" s="209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 spans="2:24">
      <c r="B297" s="16"/>
      <c r="C297" s="16"/>
      <c r="D297" s="16"/>
      <c r="E297" s="16"/>
      <c r="F297" s="209"/>
      <c r="G297" s="209"/>
      <c r="H297" s="209"/>
      <c r="I297" s="209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 spans="2:24">
      <c r="B298" s="16"/>
      <c r="C298" s="16"/>
      <c r="D298" s="16"/>
      <c r="E298" s="16"/>
      <c r="F298" s="209"/>
      <c r="G298" s="209"/>
      <c r="H298" s="209"/>
      <c r="I298" s="209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 spans="2:24">
      <c r="B299" s="16"/>
      <c r="C299" s="16"/>
      <c r="D299" s="16"/>
      <c r="E299" s="16"/>
      <c r="F299" s="209"/>
      <c r="G299" s="209"/>
      <c r="H299" s="209"/>
      <c r="I299" s="209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 spans="2:24">
      <c r="B300" s="16"/>
      <c r="C300" s="16"/>
      <c r="D300" s="16"/>
      <c r="E300" s="16"/>
      <c r="F300" s="209"/>
      <c r="G300" s="209"/>
      <c r="H300" s="209"/>
      <c r="I300" s="209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 spans="2:24">
      <c r="B301" s="16"/>
      <c r="C301" s="16"/>
      <c r="D301" s="16"/>
      <c r="E301" s="16"/>
      <c r="F301" s="209"/>
      <c r="G301" s="209"/>
      <c r="H301" s="209"/>
      <c r="I301" s="209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 spans="2:24">
      <c r="B302" s="16"/>
      <c r="C302" s="16"/>
      <c r="D302" s="16"/>
      <c r="E302" s="16"/>
      <c r="F302" s="209"/>
      <c r="G302" s="209"/>
      <c r="H302" s="209"/>
      <c r="I302" s="209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 spans="2:24">
      <c r="B303" s="16"/>
      <c r="C303" s="16"/>
      <c r="D303" s="16"/>
      <c r="E303" s="16"/>
      <c r="F303" s="209"/>
      <c r="G303" s="209"/>
      <c r="H303" s="209"/>
      <c r="I303" s="209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 spans="2:24">
      <c r="B304" s="16"/>
      <c r="C304" s="16"/>
      <c r="D304" s="16"/>
      <c r="E304" s="16"/>
      <c r="F304" s="209"/>
      <c r="G304" s="209"/>
      <c r="H304" s="209"/>
      <c r="I304" s="209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 spans="2:24">
      <c r="B305" s="16"/>
      <c r="C305" s="16"/>
      <c r="D305" s="16"/>
      <c r="E305" s="16"/>
      <c r="F305" s="209"/>
      <c r="G305" s="209"/>
      <c r="H305" s="209"/>
      <c r="I305" s="209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2:24">
      <c r="B306" s="16"/>
      <c r="C306" s="16"/>
      <c r="D306" s="16"/>
      <c r="E306" s="16"/>
      <c r="F306" s="209"/>
      <c r="G306" s="209"/>
      <c r="H306" s="209"/>
      <c r="I306" s="209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 spans="2:24">
      <c r="B307" s="16"/>
      <c r="C307" s="16"/>
      <c r="D307" s="16"/>
      <c r="E307" s="16"/>
      <c r="F307" s="209"/>
      <c r="G307" s="209"/>
      <c r="H307" s="209"/>
      <c r="I307" s="209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 spans="2:24">
      <c r="B308" s="16"/>
      <c r="C308" s="16"/>
      <c r="D308" s="16"/>
      <c r="E308" s="16"/>
      <c r="F308" s="209"/>
      <c r="G308" s="209"/>
      <c r="H308" s="209"/>
      <c r="I308" s="209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spans="2:24">
      <c r="B309" s="16"/>
      <c r="C309" s="16"/>
      <c r="D309" s="16"/>
      <c r="E309" s="16"/>
      <c r="F309" s="209"/>
      <c r="G309" s="209"/>
      <c r="H309" s="209"/>
      <c r="I309" s="209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 spans="2:24">
      <c r="B310" s="16"/>
      <c r="C310" s="16"/>
      <c r="D310" s="16"/>
      <c r="E310" s="16"/>
      <c r="F310" s="209"/>
      <c r="G310" s="209"/>
      <c r="H310" s="209"/>
      <c r="I310" s="209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 spans="2:24">
      <c r="B311" s="16"/>
      <c r="C311" s="16"/>
      <c r="D311" s="16"/>
      <c r="E311" s="16"/>
      <c r="F311" s="209"/>
      <c r="G311" s="209"/>
      <c r="H311" s="209"/>
      <c r="I311" s="209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 spans="2:24">
      <c r="B312" s="16"/>
      <c r="C312" s="16"/>
      <c r="D312" s="16"/>
      <c r="E312" s="16"/>
      <c r="F312" s="209"/>
      <c r="G312" s="209"/>
      <c r="H312" s="209"/>
      <c r="I312" s="209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 spans="2:24">
      <c r="B313" s="16"/>
      <c r="C313" s="16"/>
      <c r="D313" s="16"/>
      <c r="E313" s="16"/>
      <c r="F313" s="209"/>
      <c r="G313" s="209"/>
      <c r="H313" s="209"/>
      <c r="I313" s="209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 spans="2:24">
      <c r="B314" s="16"/>
      <c r="C314" s="16"/>
      <c r="D314" s="16"/>
      <c r="E314" s="16"/>
      <c r="F314" s="209"/>
      <c r="G314" s="209"/>
      <c r="H314" s="209"/>
      <c r="I314" s="209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 spans="2:24">
      <c r="B315" s="16"/>
      <c r="C315" s="16"/>
      <c r="D315" s="16"/>
      <c r="E315" s="16"/>
      <c r="F315" s="209"/>
      <c r="G315" s="209"/>
      <c r="H315" s="209"/>
      <c r="I315" s="209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 spans="2:24">
      <c r="B316" s="16"/>
      <c r="C316" s="16"/>
      <c r="D316" s="16"/>
      <c r="E316" s="16"/>
      <c r="F316" s="209"/>
      <c r="G316" s="209"/>
      <c r="H316" s="209"/>
      <c r="I316" s="209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 spans="2:24">
      <c r="B317" s="16"/>
      <c r="C317" s="16"/>
      <c r="D317" s="16"/>
      <c r="E317" s="16"/>
      <c r="F317" s="209"/>
      <c r="G317" s="209"/>
      <c r="H317" s="209"/>
      <c r="I317" s="209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 spans="2:24">
      <c r="B318" s="16"/>
      <c r="C318" s="16"/>
      <c r="D318" s="16"/>
      <c r="E318" s="16"/>
      <c r="F318" s="209"/>
      <c r="G318" s="209"/>
      <c r="H318" s="209"/>
      <c r="I318" s="209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 spans="2:24">
      <c r="B319" s="16"/>
      <c r="C319" s="16"/>
      <c r="D319" s="16"/>
      <c r="E319" s="16"/>
      <c r="F319" s="209"/>
      <c r="G319" s="209"/>
      <c r="H319" s="209"/>
      <c r="I319" s="209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 spans="2:24">
      <c r="B320" s="16"/>
      <c r="C320" s="16"/>
      <c r="D320" s="16"/>
      <c r="E320" s="16"/>
      <c r="F320" s="209"/>
      <c r="G320" s="209"/>
      <c r="H320" s="209"/>
      <c r="I320" s="209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 spans="2:24">
      <c r="B321" s="16"/>
      <c r="C321" s="16"/>
      <c r="D321" s="16"/>
      <c r="E321" s="16"/>
      <c r="F321" s="209"/>
      <c r="G321" s="209"/>
      <c r="H321" s="209"/>
      <c r="I321" s="209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 spans="2:24">
      <c r="B322" s="16"/>
      <c r="C322" s="16"/>
      <c r="D322" s="16"/>
      <c r="E322" s="16"/>
      <c r="F322" s="209"/>
      <c r="G322" s="209"/>
      <c r="H322" s="209"/>
      <c r="I322" s="209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 spans="2:24">
      <c r="B323" s="16"/>
      <c r="C323" s="16"/>
      <c r="D323" s="16"/>
      <c r="E323" s="16"/>
      <c r="F323" s="209"/>
      <c r="G323" s="209"/>
      <c r="H323" s="209"/>
      <c r="I323" s="209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 spans="2:24">
      <c r="B324" s="16"/>
      <c r="C324" s="16"/>
      <c r="D324" s="16"/>
      <c r="E324" s="16"/>
      <c r="F324" s="209"/>
      <c r="G324" s="209"/>
      <c r="H324" s="209"/>
      <c r="I324" s="209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 spans="2:24">
      <c r="B325" s="16"/>
      <c r="C325" s="16"/>
      <c r="D325" s="16"/>
      <c r="E325" s="16"/>
      <c r="F325" s="209"/>
      <c r="G325" s="209"/>
      <c r="H325" s="209"/>
      <c r="I325" s="209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 spans="2:24">
      <c r="B326" s="16"/>
      <c r="C326" s="16"/>
      <c r="D326" s="16"/>
      <c r="E326" s="16"/>
      <c r="F326" s="209"/>
      <c r="G326" s="209"/>
      <c r="H326" s="209"/>
      <c r="I326" s="209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 spans="2:24">
      <c r="B327" s="16"/>
      <c r="C327" s="16"/>
      <c r="D327" s="16"/>
      <c r="E327" s="16"/>
      <c r="F327" s="209"/>
      <c r="G327" s="209"/>
      <c r="H327" s="209"/>
      <c r="I327" s="209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 spans="2:24">
      <c r="B328" s="16"/>
      <c r="C328" s="16"/>
      <c r="D328" s="16"/>
      <c r="E328" s="16"/>
      <c r="F328" s="209"/>
      <c r="G328" s="209"/>
      <c r="H328" s="209"/>
      <c r="I328" s="209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 spans="2:24">
      <c r="B329" s="16"/>
      <c r="C329" s="16"/>
      <c r="D329" s="16"/>
      <c r="E329" s="16"/>
      <c r="F329" s="209"/>
      <c r="G329" s="209"/>
      <c r="H329" s="209"/>
      <c r="I329" s="209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 spans="2:24">
      <c r="B330" s="16"/>
      <c r="C330" s="16"/>
      <c r="D330" s="16"/>
      <c r="E330" s="16"/>
      <c r="F330" s="209"/>
      <c r="G330" s="209"/>
      <c r="H330" s="209"/>
      <c r="I330" s="209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 spans="2:24">
      <c r="B331" s="16"/>
      <c r="C331" s="16"/>
      <c r="D331" s="16"/>
      <c r="E331" s="16"/>
      <c r="F331" s="209"/>
      <c r="G331" s="209"/>
      <c r="H331" s="209"/>
      <c r="I331" s="209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spans="2:24">
      <c r="B332" s="16"/>
      <c r="C332" s="16"/>
      <c r="D332" s="16"/>
      <c r="E332" s="16"/>
      <c r="F332" s="209"/>
      <c r="G332" s="209"/>
      <c r="H332" s="209"/>
      <c r="I332" s="209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spans="2:24">
      <c r="B333" s="16"/>
      <c r="C333" s="16"/>
      <c r="D333" s="16"/>
      <c r="E333" s="16"/>
      <c r="F333" s="209"/>
      <c r="G333" s="209"/>
      <c r="H333" s="209"/>
      <c r="I333" s="209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spans="2:24">
      <c r="B334" s="16"/>
      <c r="C334" s="16"/>
      <c r="D334" s="16"/>
      <c r="E334" s="16"/>
      <c r="F334" s="209"/>
      <c r="G334" s="209"/>
      <c r="H334" s="209"/>
      <c r="I334" s="209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 spans="2:24">
      <c r="B335" s="16"/>
      <c r="C335" s="16"/>
      <c r="D335" s="16"/>
      <c r="E335" s="16"/>
      <c r="F335" s="209"/>
      <c r="G335" s="209"/>
      <c r="H335" s="209"/>
      <c r="I335" s="209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 spans="2:24">
      <c r="B336" s="16"/>
      <c r="C336" s="16"/>
      <c r="D336" s="16"/>
      <c r="E336" s="16"/>
      <c r="F336" s="209"/>
      <c r="G336" s="209"/>
      <c r="H336" s="209"/>
      <c r="I336" s="209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 spans="2:24">
      <c r="B337" s="16"/>
      <c r="C337" s="16"/>
      <c r="D337" s="16"/>
      <c r="E337" s="16"/>
      <c r="F337" s="209"/>
      <c r="G337" s="209"/>
      <c r="H337" s="209"/>
      <c r="I337" s="209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 spans="2:24">
      <c r="B338" s="16"/>
      <c r="C338" s="16"/>
      <c r="D338" s="16"/>
      <c r="E338" s="16"/>
      <c r="F338" s="209"/>
      <c r="G338" s="209"/>
      <c r="H338" s="209"/>
      <c r="I338" s="209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 spans="2:24">
      <c r="B339" s="16"/>
      <c r="C339" s="16"/>
      <c r="D339" s="16"/>
      <c r="E339" s="16"/>
      <c r="F339" s="209"/>
      <c r="G339" s="209"/>
      <c r="H339" s="209"/>
      <c r="I339" s="209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 spans="2:24">
      <c r="B340" s="16"/>
      <c r="C340" s="16"/>
      <c r="D340" s="16"/>
      <c r="E340" s="16"/>
      <c r="F340" s="209"/>
      <c r="G340" s="209"/>
      <c r="H340" s="209"/>
      <c r="I340" s="209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 spans="2:24">
      <c r="B341" s="16"/>
      <c r="C341" s="16"/>
      <c r="D341" s="16"/>
      <c r="E341" s="16"/>
      <c r="F341" s="209"/>
      <c r="G341" s="209"/>
      <c r="H341" s="209"/>
      <c r="I341" s="209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 spans="2:24">
      <c r="B342" s="16"/>
      <c r="C342" s="16"/>
      <c r="D342" s="16"/>
      <c r="E342" s="16"/>
      <c r="F342" s="209"/>
      <c r="G342" s="209"/>
      <c r="H342" s="209"/>
      <c r="I342" s="209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 spans="2:24">
      <c r="B343" s="16"/>
      <c r="C343" s="16"/>
      <c r="D343" s="16"/>
      <c r="E343" s="16"/>
      <c r="F343" s="209"/>
      <c r="G343" s="209"/>
      <c r="H343" s="209"/>
      <c r="I343" s="209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 spans="2:24">
      <c r="B344" s="16"/>
      <c r="C344" s="16"/>
      <c r="D344" s="16"/>
      <c r="E344" s="16"/>
      <c r="F344" s="209"/>
      <c r="G344" s="209"/>
      <c r="H344" s="209"/>
      <c r="I344" s="209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 spans="2:24">
      <c r="B345" s="16"/>
      <c r="C345" s="16"/>
      <c r="D345" s="16"/>
      <c r="E345" s="16"/>
      <c r="F345" s="209"/>
      <c r="G345" s="209"/>
      <c r="H345" s="209"/>
      <c r="I345" s="209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 spans="2:24">
      <c r="B346" s="16"/>
      <c r="C346" s="16"/>
      <c r="D346" s="16"/>
      <c r="E346" s="16"/>
      <c r="F346" s="209"/>
      <c r="G346" s="209"/>
      <c r="H346" s="209"/>
      <c r="I346" s="209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 spans="2:24">
      <c r="B347" s="16"/>
      <c r="C347" s="16"/>
      <c r="D347" s="16"/>
      <c r="E347" s="16"/>
      <c r="F347" s="209"/>
      <c r="G347" s="209"/>
      <c r="H347" s="209"/>
      <c r="I347" s="209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 spans="2:24">
      <c r="B348" s="16"/>
      <c r="C348" s="16"/>
      <c r="D348" s="16"/>
      <c r="E348" s="16"/>
      <c r="F348" s="209"/>
      <c r="G348" s="209"/>
      <c r="H348" s="209"/>
      <c r="I348" s="209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 spans="2:24">
      <c r="B349" s="16"/>
      <c r="C349" s="16"/>
      <c r="D349" s="16"/>
      <c r="E349" s="16"/>
      <c r="F349" s="209"/>
      <c r="G349" s="209"/>
      <c r="H349" s="209"/>
      <c r="I349" s="209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 spans="2:24">
      <c r="B350" s="16"/>
      <c r="C350" s="16"/>
      <c r="D350" s="16"/>
      <c r="E350" s="16"/>
      <c r="F350" s="209"/>
      <c r="G350" s="209"/>
      <c r="H350" s="209"/>
      <c r="I350" s="209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 spans="2:24">
      <c r="B351" s="16"/>
      <c r="C351" s="16"/>
      <c r="D351" s="16"/>
      <c r="E351" s="16"/>
      <c r="F351" s="209"/>
      <c r="G351" s="209"/>
      <c r="H351" s="209"/>
      <c r="I351" s="209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 spans="2:24">
      <c r="B352" s="16"/>
      <c r="C352" s="16"/>
      <c r="D352" s="16"/>
      <c r="E352" s="16"/>
      <c r="F352" s="209"/>
      <c r="G352" s="209"/>
      <c r="H352" s="209"/>
      <c r="I352" s="209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 spans="2:24">
      <c r="B353" s="16"/>
      <c r="C353" s="16"/>
      <c r="D353" s="16"/>
      <c r="E353" s="16"/>
      <c r="F353" s="209"/>
      <c r="G353" s="209"/>
      <c r="H353" s="209"/>
      <c r="I353" s="209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 spans="2:24">
      <c r="B354" s="16"/>
      <c r="C354" s="16"/>
      <c r="D354" s="16"/>
      <c r="E354" s="16"/>
      <c r="F354" s="209"/>
      <c r="G354" s="209"/>
      <c r="H354" s="209"/>
      <c r="I354" s="209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spans="2:24">
      <c r="B355" s="16"/>
      <c r="C355" s="16"/>
      <c r="D355" s="16"/>
      <c r="E355" s="16"/>
      <c r="F355" s="209"/>
      <c r="G355" s="209"/>
      <c r="H355" s="209"/>
      <c r="I355" s="209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spans="2:24">
      <c r="B356" s="16"/>
      <c r="C356" s="16"/>
      <c r="D356" s="16"/>
      <c r="E356" s="16"/>
      <c r="F356" s="209"/>
      <c r="G356" s="209"/>
      <c r="H356" s="209"/>
      <c r="I356" s="209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spans="2:24">
      <c r="B357" s="16"/>
      <c r="C357" s="16"/>
      <c r="D357" s="16"/>
      <c r="E357" s="16"/>
      <c r="F357" s="209"/>
      <c r="G357" s="209"/>
      <c r="H357" s="209"/>
      <c r="I357" s="209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spans="2:24">
      <c r="B358" s="16"/>
      <c r="C358" s="16"/>
      <c r="D358" s="16"/>
      <c r="E358" s="16"/>
      <c r="F358" s="209"/>
      <c r="G358" s="209"/>
      <c r="H358" s="209"/>
      <c r="I358" s="209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 spans="2:24">
      <c r="B359" s="16"/>
      <c r="C359" s="16"/>
      <c r="D359" s="16"/>
      <c r="E359" s="16"/>
      <c r="F359" s="209"/>
      <c r="G359" s="209"/>
      <c r="H359" s="209"/>
      <c r="I359" s="209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 spans="2:24">
      <c r="B360" s="16"/>
      <c r="C360" s="16"/>
      <c r="D360" s="16"/>
      <c r="E360" s="16"/>
      <c r="F360" s="209"/>
      <c r="G360" s="209"/>
      <c r="H360" s="209"/>
      <c r="I360" s="209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spans="2:24">
      <c r="B361" s="16"/>
      <c r="C361" s="16"/>
      <c r="D361" s="16"/>
      <c r="E361" s="16"/>
      <c r="F361" s="209"/>
      <c r="G361" s="209"/>
      <c r="H361" s="209"/>
      <c r="I361" s="209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 spans="2:24">
      <c r="B362" s="16"/>
      <c r="C362" s="16"/>
      <c r="D362" s="16"/>
      <c r="E362" s="16"/>
      <c r="F362" s="209"/>
      <c r="G362" s="209"/>
      <c r="H362" s="209"/>
      <c r="I362" s="209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 spans="2:24">
      <c r="B363" s="16"/>
      <c r="C363" s="16"/>
      <c r="D363" s="16"/>
      <c r="E363" s="16"/>
      <c r="F363" s="209"/>
      <c r="G363" s="209"/>
      <c r="H363" s="209"/>
      <c r="I363" s="209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 spans="2:24">
      <c r="B364" s="16"/>
      <c r="C364" s="16"/>
      <c r="D364" s="16"/>
      <c r="E364" s="16"/>
      <c r="F364" s="209"/>
      <c r="G364" s="209"/>
      <c r="H364" s="209"/>
      <c r="I364" s="209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 spans="2:24">
      <c r="B365" s="16"/>
      <c r="C365" s="16"/>
      <c r="D365" s="16"/>
      <c r="E365" s="16"/>
      <c r="F365" s="209"/>
      <c r="G365" s="209"/>
      <c r="H365" s="209"/>
      <c r="I365" s="209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 spans="2:24">
      <c r="B366" s="16"/>
      <c r="C366" s="16"/>
      <c r="D366" s="16"/>
      <c r="E366" s="16"/>
      <c r="F366" s="209"/>
      <c r="G366" s="209"/>
      <c r="H366" s="209"/>
      <c r="I366" s="209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 spans="2:24">
      <c r="B367" s="16"/>
      <c r="C367" s="16"/>
      <c r="D367" s="16"/>
      <c r="E367" s="16"/>
      <c r="F367" s="209"/>
      <c r="G367" s="209"/>
      <c r="H367" s="209"/>
      <c r="I367" s="209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 spans="2:24">
      <c r="B368" s="16"/>
      <c r="C368" s="16"/>
      <c r="D368" s="16"/>
      <c r="E368" s="16"/>
      <c r="F368" s="209"/>
      <c r="G368" s="209"/>
      <c r="H368" s="209"/>
      <c r="I368" s="209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 spans="2:24">
      <c r="B369" s="16"/>
      <c r="C369" s="16"/>
      <c r="D369" s="16"/>
      <c r="E369" s="16"/>
      <c r="F369" s="209"/>
      <c r="G369" s="209"/>
      <c r="H369" s="209"/>
      <c r="I369" s="209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 spans="2:24">
      <c r="B370" s="16"/>
      <c r="C370" s="16"/>
      <c r="D370" s="16"/>
      <c r="E370" s="16"/>
      <c r="F370" s="209"/>
      <c r="G370" s="209"/>
      <c r="H370" s="209"/>
      <c r="I370" s="209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 spans="2:24">
      <c r="B371" s="16"/>
      <c r="C371" s="16"/>
      <c r="D371" s="16"/>
      <c r="E371" s="16"/>
      <c r="F371" s="209"/>
      <c r="G371" s="209"/>
      <c r="H371" s="209"/>
      <c r="I371" s="209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 spans="2:24">
      <c r="B372" s="16"/>
      <c r="C372" s="16"/>
      <c r="D372" s="16"/>
      <c r="E372" s="16"/>
      <c r="F372" s="209"/>
      <c r="G372" s="209"/>
      <c r="H372" s="209"/>
      <c r="I372" s="209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 spans="2:24">
      <c r="B373" s="16"/>
      <c r="C373" s="16"/>
      <c r="D373" s="16"/>
      <c r="E373" s="16"/>
      <c r="F373" s="209"/>
      <c r="G373" s="209"/>
      <c r="H373" s="209"/>
      <c r="I373" s="209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 spans="2:24">
      <c r="B374" s="16"/>
      <c r="C374" s="16"/>
      <c r="D374" s="16"/>
      <c r="E374" s="16"/>
      <c r="F374" s="209"/>
      <c r="G374" s="209"/>
      <c r="H374" s="209"/>
      <c r="I374" s="209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 spans="2:24">
      <c r="B375" s="16"/>
      <c r="C375" s="16"/>
      <c r="D375" s="16"/>
      <c r="E375" s="16"/>
      <c r="F375" s="209"/>
      <c r="G375" s="209"/>
      <c r="H375" s="209"/>
      <c r="I375" s="209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 spans="2:24">
      <c r="B376" s="16"/>
      <c r="C376" s="16"/>
      <c r="D376" s="16"/>
      <c r="E376" s="16"/>
      <c r="F376" s="209"/>
      <c r="G376" s="209"/>
      <c r="H376" s="209"/>
      <c r="I376" s="209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 spans="2:24">
      <c r="B377" s="16"/>
      <c r="C377" s="16"/>
      <c r="D377" s="16"/>
      <c r="E377" s="16"/>
      <c r="F377" s="209"/>
      <c r="G377" s="209"/>
      <c r="H377" s="209"/>
      <c r="I377" s="209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spans="2:24">
      <c r="B378" s="16"/>
      <c r="C378" s="16"/>
      <c r="D378" s="16"/>
      <c r="E378" s="16"/>
      <c r="F378" s="209"/>
      <c r="G378" s="209"/>
      <c r="H378" s="209"/>
      <c r="I378" s="209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spans="2:24">
      <c r="B379" s="16"/>
      <c r="C379" s="16"/>
      <c r="D379" s="16"/>
      <c r="E379" s="16"/>
      <c r="F379" s="209"/>
      <c r="G379" s="209"/>
      <c r="H379" s="209"/>
      <c r="I379" s="209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spans="2:24">
      <c r="B380" s="16"/>
      <c r="C380" s="16"/>
      <c r="D380" s="16"/>
      <c r="E380" s="16"/>
      <c r="F380" s="209"/>
      <c r="G380" s="209"/>
      <c r="H380" s="209"/>
      <c r="I380" s="209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spans="2:24">
      <c r="B381" s="16"/>
      <c r="C381" s="16"/>
      <c r="D381" s="16"/>
      <c r="E381" s="16"/>
      <c r="F381" s="209"/>
      <c r="G381" s="209"/>
      <c r="H381" s="209"/>
      <c r="I381" s="209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spans="2:24">
      <c r="B382" s="16"/>
      <c r="C382" s="16"/>
      <c r="D382" s="16"/>
      <c r="E382" s="16"/>
      <c r="F382" s="209"/>
      <c r="G382" s="209"/>
      <c r="H382" s="209"/>
      <c r="I382" s="209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spans="2:24">
      <c r="B383" s="16"/>
      <c r="C383" s="16"/>
      <c r="D383" s="16"/>
      <c r="E383" s="16"/>
      <c r="F383" s="209"/>
      <c r="G383" s="209"/>
      <c r="H383" s="209"/>
      <c r="I383" s="209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 spans="2:24">
      <c r="B384" s="16"/>
      <c r="C384" s="16"/>
      <c r="D384" s="16"/>
      <c r="E384" s="16"/>
      <c r="F384" s="209"/>
      <c r="G384" s="209"/>
      <c r="H384" s="209"/>
      <c r="I384" s="209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 spans="2:24">
      <c r="B385" s="16"/>
      <c r="C385" s="16"/>
      <c r="D385" s="16"/>
      <c r="E385" s="16"/>
      <c r="F385" s="209"/>
      <c r="G385" s="209"/>
      <c r="H385" s="209"/>
      <c r="I385" s="209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 spans="2:24">
      <c r="B386" s="16"/>
      <c r="C386" s="16"/>
      <c r="D386" s="16"/>
      <c r="E386" s="16"/>
      <c r="F386" s="209"/>
      <c r="G386" s="209"/>
      <c r="H386" s="209"/>
      <c r="I386" s="209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 spans="2:24">
      <c r="B387" s="16"/>
      <c r="C387" s="16"/>
      <c r="D387" s="16"/>
      <c r="E387" s="16"/>
      <c r="F387" s="209"/>
      <c r="G387" s="209"/>
      <c r="H387" s="209"/>
      <c r="I387" s="209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 spans="2:24">
      <c r="B388" s="16"/>
      <c r="C388" s="16"/>
      <c r="D388" s="16"/>
      <c r="E388" s="16"/>
      <c r="F388" s="209"/>
      <c r="G388" s="209"/>
      <c r="H388" s="209"/>
      <c r="I388" s="209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 spans="2:24">
      <c r="B389" s="16"/>
      <c r="C389" s="16"/>
      <c r="D389" s="16"/>
      <c r="E389" s="16"/>
      <c r="F389" s="209"/>
      <c r="G389" s="209"/>
      <c r="H389" s="209"/>
      <c r="I389" s="209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 spans="2:24">
      <c r="B390" s="16"/>
      <c r="C390" s="16"/>
      <c r="D390" s="16"/>
      <c r="E390" s="16"/>
      <c r="F390" s="209"/>
      <c r="G390" s="209"/>
      <c r="H390" s="209"/>
      <c r="I390" s="209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 spans="2:24">
      <c r="B391" s="16"/>
      <c r="C391" s="16"/>
      <c r="D391" s="16"/>
      <c r="E391" s="16"/>
      <c r="F391" s="209"/>
      <c r="G391" s="209"/>
      <c r="H391" s="209"/>
      <c r="I391" s="209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 spans="2:24">
      <c r="B392" s="16"/>
      <c r="C392" s="16"/>
      <c r="D392" s="16"/>
      <c r="E392" s="16"/>
      <c r="F392" s="209"/>
      <c r="G392" s="209"/>
      <c r="H392" s="209"/>
      <c r="I392" s="209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 spans="2:24">
      <c r="B393" s="16"/>
      <c r="C393" s="16"/>
      <c r="D393" s="16"/>
      <c r="E393" s="16"/>
      <c r="F393" s="209"/>
      <c r="G393" s="209"/>
      <c r="H393" s="209"/>
      <c r="I393" s="209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 spans="2:24">
      <c r="B394" s="16"/>
      <c r="C394" s="16"/>
      <c r="D394" s="16"/>
      <c r="E394" s="16"/>
      <c r="F394" s="209"/>
      <c r="G394" s="209"/>
      <c r="H394" s="209"/>
      <c r="I394" s="209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 spans="2:24">
      <c r="B395" s="16"/>
      <c r="C395" s="16"/>
      <c r="D395" s="16"/>
      <c r="E395" s="16"/>
      <c r="F395" s="209"/>
      <c r="G395" s="209"/>
      <c r="H395" s="209"/>
      <c r="I395" s="209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 spans="2:24">
      <c r="B396" s="16"/>
      <c r="C396" s="16"/>
      <c r="D396" s="16"/>
      <c r="E396" s="16"/>
      <c r="F396" s="209"/>
      <c r="G396" s="209"/>
      <c r="H396" s="209"/>
      <c r="I396" s="209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 spans="2:24">
      <c r="B397" s="16"/>
      <c r="C397" s="16"/>
      <c r="D397" s="16"/>
      <c r="E397" s="16"/>
      <c r="F397" s="209"/>
      <c r="G397" s="209"/>
      <c r="H397" s="209"/>
      <c r="I397" s="209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 spans="2:24">
      <c r="B398" s="16"/>
      <c r="C398" s="16"/>
      <c r="D398" s="16"/>
      <c r="E398" s="16"/>
      <c r="F398" s="209"/>
      <c r="G398" s="209"/>
      <c r="H398" s="209"/>
      <c r="I398" s="209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 spans="2:24">
      <c r="B399" s="16"/>
      <c r="C399" s="16"/>
      <c r="D399" s="16"/>
      <c r="E399" s="16"/>
      <c r="F399" s="209"/>
      <c r="G399" s="209"/>
      <c r="H399" s="209"/>
      <c r="I399" s="209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 spans="2:24">
      <c r="B400" s="16"/>
      <c r="C400" s="16"/>
      <c r="D400" s="16"/>
      <c r="E400" s="16"/>
      <c r="F400" s="209"/>
      <c r="G400" s="209"/>
      <c r="H400" s="209"/>
      <c r="I400" s="209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spans="2:24">
      <c r="B401" s="16"/>
      <c r="C401" s="16"/>
      <c r="D401" s="16"/>
      <c r="E401" s="16"/>
      <c r="F401" s="209"/>
      <c r="G401" s="209"/>
      <c r="H401" s="209"/>
      <c r="I401" s="209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spans="2:24">
      <c r="B402" s="16"/>
      <c r="C402" s="16"/>
      <c r="D402" s="16"/>
      <c r="E402" s="16"/>
      <c r="F402" s="209"/>
      <c r="G402" s="209"/>
      <c r="H402" s="209"/>
      <c r="I402" s="209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spans="2:24">
      <c r="B403" s="16"/>
      <c r="C403" s="16"/>
      <c r="D403" s="16"/>
      <c r="E403" s="16"/>
      <c r="F403" s="209"/>
      <c r="G403" s="209"/>
      <c r="H403" s="209"/>
      <c r="I403" s="209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spans="2:24">
      <c r="B404" s="16"/>
      <c r="C404" s="16"/>
      <c r="D404" s="16"/>
      <c r="E404" s="16"/>
      <c r="F404" s="209"/>
      <c r="G404" s="209"/>
      <c r="H404" s="209"/>
      <c r="I404" s="209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spans="2:24">
      <c r="B405" s="16"/>
      <c r="C405" s="16"/>
      <c r="D405" s="16"/>
      <c r="E405" s="16"/>
      <c r="F405" s="209"/>
      <c r="G405" s="209"/>
      <c r="H405" s="209"/>
      <c r="I405" s="209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spans="2:24">
      <c r="B406" s="16"/>
      <c r="C406" s="16"/>
      <c r="D406" s="16"/>
      <c r="E406" s="16"/>
      <c r="F406" s="209"/>
      <c r="G406" s="209"/>
      <c r="H406" s="209"/>
      <c r="I406" s="209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spans="2:24">
      <c r="B407" s="16"/>
      <c r="C407" s="16"/>
      <c r="D407" s="16"/>
      <c r="E407" s="16"/>
      <c r="F407" s="209"/>
      <c r="G407" s="209"/>
      <c r="H407" s="209"/>
      <c r="I407" s="209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 spans="2:24">
      <c r="B408" s="16"/>
      <c r="C408" s="16"/>
      <c r="D408" s="16"/>
      <c r="E408" s="16"/>
      <c r="F408" s="209"/>
      <c r="G408" s="209"/>
      <c r="H408" s="209"/>
      <c r="I408" s="209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 spans="2:24">
      <c r="B409" s="16"/>
      <c r="C409" s="16"/>
      <c r="D409" s="16"/>
      <c r="E409" s="16"/>
      <c r="F409" s="209"/>
      <c r="G409" s="209"/>
      <c r="H409" s="209"/>
      <c r="I409" s="209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 spans="2:24">
      <c r="B410" s="16"/>
      <c r="C410" s="16"/>
      <c r="D410" s="16"/>
      <c r="E410" s="16"/>
      <c r="F410" s="209"/>
      <c r="G410" s="209"/>
      <c r="H410" s="209"/>
      <c r="I410" s="209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 spans="2:24">
      <c r="B411" s="16"/>
      <c r="C411" s="16"/>
      <c r="D411" s="16"/>
      <c r="E411" s="16"/>
      <c r="F411" s="209"/>
      <c r="G411" s="209"/>
      <c r="H411" s="209"/>
      <c r="I411" s="209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 spans="2:24">
      <c r="B412" s="16"/>
      <c r="C412" s="16"/>
      <c r="D412" s="16"/>
      <c r="E412" s="16"/>
      <c r="F412" s="209"/>
      <c r="G412" s="209"/>
      <c r="H412" s="209"/>
      <c r="I412" s="209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 spans="2:24">
      <c r="B413" s="16"/>
      <c r="C413" s="16"/>
      <c r="D413" s="16"/>
      <c r="E413" s="16"/>
      <c r="F413" s="209"/>
      <c r="G413" s="209"/>
      <c r="H413" s="209"/>
      <c r="I413" s="209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 spans="2:24">
      <c r="B414" s="16"/>
      <c r="C414" s="16"/>
      <c r="D414" s="16"/>
      <c r="E414" s="16"/>
      <c r="F414" s="209"/>
      <c r="G414" s="209"/>
      <c r="H414" s="209"/>
      <c r="I414" s="209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 spans="2:24">
      <c r="B415" s="16"/>
      <c r="C415" s="16"/>
      <c r="D415" s="16"/>
      <c r="E415" s="16"/>
      <c r="F415" s="209"/>
      <c r="G415" s="209"/>
      <c r="H415" s="209"/>
      <c r="I415" s="209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 spans="2:24">
      <c r="B416" s="16"/>
      <c r="C416" s="16"/>
      <c r="D416" s="16"/>
      <c r="E416" s="16"/>
      <c r="F416" s="209"/>
      <c r="G416" s="209"/>
      <c r="H416" s="209"/>
      <c r="I416" s="209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 spans="2:24">
      <c r="B417" s="16"/>
      <c r="C417" s="16"/>
      <c r="D417" s="16"/>
      <c r="E417" s="16"/>
      <c r="F417" s="209"/>
      <c r="G417" s="209"/>
      <c r="H417" s="209"/>
      <c r="I417" s="209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 spans="2:24">
      <c r="B418" s="16"/>
      <c r="C418" s="16"/>
      <c r="D418" s="16"/>
      <c r="E418" s="16"/>
      <c r="F418" s="209"/>
      <c r="G418" s="209"/>
      <c r="H418" s="209"/>
      <c r="I418" s="209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 spans="2:24">
      <c r="B419" s="16"/>
      <c r="C419" s="16"/>
      <c r="D419" s="16"/>
      <c r="E419" s="16"/>
      <c r="F419" s="209"/>
      <c r="G419" s="209"/>
      <c r="H419" s="209"/>
      <c r="I419" s="209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 spans="2:24">
      <c r="B420" s="16"/>
      <c r="C420" s="16"/>
      <c r="D420" s="16"/>
      <c r="E420" s="16"/>
      <c r="F420" s="209"/>
      <c r="G420" s="209"/>
      <c r="H420" s="209"/>
      <c r="I420" s="209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 spans="2:24">
      <c r="B421" s="16"/>
      <c r="C421" s="16"/>
      <c r="D421" s="16"/>
      <c r="E421" s="16"/>
      <c r="F421" s="209"/>
      <c r="G421" s="209"/>
      <c r="H421" s="209"/>
      <c r="I421" s="209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 spans="2:24">
      <c r="B422" s="16"/>
      <c r="C422" s="16"/>
      <c r="D422" s="16"/>
      <c r="E422" s="16"/>
      <c r="F422" s="209"/>
      <c r="G422" s="209"/>
      <c r="H422" s="209"/>
      <c r="I422" s="209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 spans="2:24">
      <c r="B423" s="16"/>
      <c r="C423" s="16"/>
      <c r="D423" s="16"/>
      <c r="E423" s="16"/>
      <c r="F423" s="209"/>
      <c r="G423" s="209"/>
      <c r="H423" s="209"/>
      <c r="I423" s="209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spans="2:24">
      <c r="B424" s="16"/>
      <c r="C424" s="16"/>
      <c r="D424" s="16"/>
      <c r="E424" s="16"/>
      <c r="F424" s="209"/>
      <c r="G424" s="209"/>
      <c r="H424" s="209"/>
      <c r="I424" s="209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 spans="2:24">
      <c r="B425" s="16"/>
      <c r="C425" s="16"/>
      <c r="D425" s="16"/>
      <c r="E425" s="16"/>
      <c r="F425" s="209"/>
      <c r="G425" s="209"/>
      <c r="H425" s="209"/>
      <c r="I425" s="209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spans="2:24">
      <c r="B426" s="16"/>
      <c r="C426" s="16"/>
      <c r="D426" s="16"/>
      <c r="E426" s="16"/>
      <c r="F426" s="209"/>
      <c r="G426" s="209"/>
      <c r="H426" s="209"/>
      <c r="I426" s="209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spans="2:24">
      <c r="B427" s="16"/>
      <c r="C427" s="16"/>
      <c r="D427" s="16"/>
      <c r="E427" s="16"/>
      <c r="F427" s="209"/>
      <c r="G427" s="209"/>
      <c r="H427" s="209"/>
      <c r="I427" s="209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spans="2:24">
      <c r="B428" s="16"/>
      <c r="C428" s="16"/>
      <c r="D428" s="16"/>
      <c r="E428" s="16"/>
      <c r="F428" s="209"/>
      <c r="G428" s="209"/>
      <c r="H428" s="209"/>
      <c r="I428" s="209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spans="2:24">
      <c r="B429" s="16"/>
      <c r="C429" s="16"/>
      <c r="D429" s="16"/>
      <c r="E429" s="16"/>
      <c r="F429" s="209"/>
      <c r="G429" s="209"/>
      <c r="H429" s="209"/>
      <c r="I429" s="209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spans="2:24">
      <c r="B430" s="16"/>
      <c r="C430" s="16"/>
      <c r="D430" s="16"/>
      <c r="E430" s="16"/>
      <c r="F430" s="209"/>
      <c r="G430" s="209"/>
      <c r="H430" s="209"/>
      <c r="I430" s="209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 spans="2:24">
      <c r="B431" s="16"/>
      <c r="C431" s="16"/>
      <c r="D431" s="16"/>
      <c r="E431" s="16"/>
      <c r="F431" s="209"/>
      <c r="G431" s="209"/>
      <c r="H431" s="209"/>
      <c r="I431" s="209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 spans="2:24">
      <c r="B432" s="16"/>
      <c r="C432" s="16"/>
      <c r="D432" s="16"/>
      <c r="E432" s="16"/>
      <c r="F432" s="209"/>
      <c r="G432" s="209"/>
      <c r="H432" s="209"/>
      <c r="I432" s="209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 spans="2:24">
      <c r="B433" s="16"/>
      <c r="C433" s="16"/>
      <c r="D433" s="16"/>
      <c r="E433" s="16"/>
      <c r="F433" s="209"/>
      <c r="G433" s="209"/>
      <c r="H433" s="209"/>
      <c r="I433" s="209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 spans="2:24">
      <c r="B434" s="16"/>
      <c r="C434" s="16"/>
      <c r="D434" s="16"/>
      <c r="E434" s="16"/>
      <c r="F434" s="209"/>
      <c r="G434" s="209"/>
      <c r="H434" s="209"/>
      <c r="I434" s="209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 spans="2:24">
      <c r="B435" s="16"/>
      <c r="C435" s="16"/>
      <c r="D435" s="16"/>
      <c r="E435" s="16"/>
      <c r="F435" s="209"/>
      <c r="G435" s="209"/>
      <c r="H435" s="209"/>
      <c r="I435" s="209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 spans="2:24">
      <c r="B436" s="16"/>
      <c r="C436" s="16"/>
      <c r="D436" s="16"/>
      <c r="E436" s="16"/>
      <c r="F436" s="209"/>
      <c r="G436" s="209"/>
      <c r="H436" s="209"/>
      <c r="I436" s="209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 spans="2:24">
      <c r="B437" s="16"/>
      <c r="C437" s="16"/>
      <c r="D437" s="16"/>
      <c r="E437" s="16"/>
      <c r="F437" s="209"/>
      <c r="G437" s="209"/>
      <c r="H437" s="209"/>
      <c r="I437" s="209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 spans="2:24">
      <c r="B438" s="16"/>
      <c r="C438" s="16"/>
      <c r="D438" s="16"/>
      <c r="E438" s="16"/>
      <c r="F438" s="209"/>
      <c r="G438" s="209"/>
      <c r="H438" s="209"/>
      <c r="I438" s="209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 spans="2:24">
      <c r="B439" s="16"/>
      <c r="C439" s="16"/>
      <c r="D439" s="16"/>
      <c r="E439" s="16"/>
      <c r="F439" s="209"/>
      <c r="G439" s="209"/>
      <c r="H439" s="209"/>
      <c r="I439" s="209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 spans="2:24">
      <c r="B440" s="16"/>
      <c r="C440" s="16"/>
      <c r="D440" s="16"/>
      <c r="E440" s="16"/>
      <c r="F440" s="209"/>
      <c r="G440" s="209"/>
      <c r="H440" s="209"/>
      <c r="I440" s="209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 spans="2:24">
      <c r="B441" s="16"/>
      <c r="C441" s="16"/>
      <c r="D441" s="16"/>
      <c r="E441" s="16"/>
      <c r="F441" s="209"/>
      <c r="G441" s="209"/>
      <c r="H441" s="209"/>
      <c r="I441" s="209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 spans="2:24">
      <c r="B442" s="16"/>
      <c r="C442" s="16"/>
      <c r="D442" s="16"/>
      <c r="E442" s="16"/>
      <c r="F442" s="209"/>
      <c r="G442" s="209"/>
      <c r="H442" s="209"/>
      <c r="I442" s="209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 spans="2:24">
      <c r="B443" s="16"/>
      <c r="C443" s="16"/>
      <c r="D443" s="16"/>
      <c r="E443" s="16"/>
      <c r="F443" s="209"/>
      <c r="G443" s="209"/>
      <c r="H443" s="209"/>
      <c r="I443" s="209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 spans="2:24">
      <c r="B444" s="16"/>
      <c r="C444" s="16"/>
      <c r="D444" s="16"/>
      <c r="E444" s="16"/>
      <c r="F444" s="209"/>
      <c r="G444" s="209"/>
      <c r="H444" s="209"/>
      <c r="I444" s="209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 spans="2:24">
      <c r="B445" s="16"/>
      <c r="C445" s="16"/>
      <c r="D445" s="16"/>
      <c r="E445" s="16"/>
      <c r="F445" s="209"/>
      <c r="G445" s="209"/>
      <c r="H445" s="209"/>
      <c r="I445" s="209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 spans="2:24">
      <c r="B446" s="16"/>
      <c r="C446" s="16"/>
      <c r="D446" s="16"/>
      <c r="E446" s="16"/>
      <c r="F446" s="209"/>
      <c r="G446" s="209"/>
      <c r="H446" s="209"/>
      <c r="I446" s="209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 spans="2:24">
      <c r="B447" s="16"/>
      <c r="C447" s="16"/>
      <c r="D447" s="16"/>
      <c r="E447" s="16"/>
      <c r="F447" s="209"/>
      <c r="G447" s="209"/>
      <c r="H447" s="209"/>
      <c r="I447" s="209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 spans="2:24">
      <c r="B448" s="16"/>
      <c r="C448" s="16"/>
      <c r="D448" s="16"/>
      <c r="E448" s="16"/>
      <c r="F448" s="209"/>
      <c r="G448" s="209"/>
      <c r="H448" s="209"/>
      <c r="I448" s="209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 spans="2:24">
      <c r="B449" s="16"/>
      <c r="C449" s="16"/>
      <c r="D449" s="16"/>
      <c r="E449" s="16"/>
      <c r="F449" s="209"/>
      <c r="G449" s="209"/>
      <c r="H449" s="209"/>
      <c r="I449" s="209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 spans="2:24">
      <c r="B450" s="16"/>
      <c r="C450" s="16"/>
      <c r="D450" s="16"/>
      <c r="E450" s="16"/>
      <c r="F450" s="209"/>
      <c r="G450" s="209"/>
      <c r="H450" s="209"/>
      <c r="I450" s="209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 spans="2:24">
      <c r="B451" s="16"/>
      <c r="C451" s="16"/>
      <c r="D451" s="16"/>
      <c r="E451" s="16"/>
      <c r="F451" s="209"/>
      <c r="G451" s="209"/>
      <c r="H451" s="209"/>
      <c r="I451" s="209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 spans="2:24">
      <c r="B452" s="16"/>
      <c r="C452" s="16"/>
      <c r="D452" s="16"/>
      <c r="E452" s="16"/>
      <c r="F452" s="209"/>
      <c r="G452" s="209"/>
      <c r="H452" s="209"/>
      <c r="I452" s="209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 spans="2:24">
      <c r="B453" s="16"/>
      <c r="C453" s="16"/>
      <c r="D453" s="16"/>
      <c r="E453" s="16"/>
      <c r="F453" s="209"/>
      <c r="G453" s="209"/>
      <c r="H453" s="209"/>
      <c r="I453" s="209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 spans="2:24">
      <c r="B454" s="16"/>
      <c r="C454" s="16"/>
      <c r="D454" s="16"/>
      <c r="E454" s="16"/>
      <c r="F454" s="209"/>
      <c r="G454" s="209"/>
      <c r="H454" s="209"/>
      <c r="I454" s="209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 spans="2:24">
      <c r="B455" s="16"/>
      <c r="C455" s="16"/>
      <c r="D455" s="16"/>
      <c r="E455" s="16"/>
      <c r="F455" s="209"/>
      <c r="G455" s="209"/>
      <c r="H455" s="209"/>
      <c r="I455" s="209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 spans="2:24">
      <c r="B456" s="16"/>
      <c r="C456" s="16"/>
      <c r="D456" s="16"/>
      <c r="E456" s="16"/>
      <c r="F456" s="209"/>
      <c r="G456" s="209"/>
      <c r="H456" s="209"/>
      <c r="I456" s="209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 spans="2:24">
      <c r="B457" s="16"/>
      <c r="C457" s="16"/>
      <c r="D457" s="16"/>
      <c r="E457" s="16"/>
      <c r="F457" s="209"/>
      <c r="G457" s="209"/>
      <c r="H457" s="209"/>
      <c r="I457" s="209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 spans="2:24">
      <c r="B458" s="16"/>
      <c r="C458" s="16"/>
      <c r="D458" s="16"/>
      <c r="E458" s="16"/>
      <c r="F458" s="209"/>
      <c r="G458" s="209"/>
      <c r="H458" s="209"/>
      <c r="I458" s="209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 spans="2:24">
      <c r="B459" s="16"/>
      <c r="C459" s="16"/>
      <c r="D459" s="16"/>
      <c r="E459" s="16"/>
      <c r="F459" s="209"/>
      <c r="G459" s="209"/>
      <c r="H459" s="209"/>
      <c r="I459" s="209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 spans="2:24">
      <c r="B460" s="16"/>
      <c r="C460" s="16"/>
      <c r="D460" s="16"/>
      <c r="E460" s="16"/>
      <c r="F460" s="209"/>
      <c r="G460" s="209"/>
      <c r="H460" s="209"/>
      <c r="I460" s="209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 spans="2:24">
      <c r="B461" s="16"/>
      <c r="C461" s="16"/>
      <c r="D461" s="16"/>
      <c r="E461" s="16"/>
      <c r="F461" s="209"/>
      <c r="G461" s="209"/>
      <c r="H461" s="209"/>
      <c r="I461" s="209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 spans="2:24">
      <c r="B462" s="16"/>
      <c r="C462" s="16"/>
      <c r="D462" s="16"/>
      <c r="E462" s="16"/>
      <c r="F462" s="209"/>
      <c r="G462" s="209"/>
      <c r="H462" s="209"/>
      <c r="I462" s="209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 spans="2:24">
      <c r="B463" s="16"/>
      <c r="C463" s="16"/>
      <c r="D463" s="16"/>
      <c r="E463" s="16"/>
      <c r="F463" s="209"/>
      <c r="G463" s="209"/>
      <c r="H463" s="209"/>
      <c r="I463" s="209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 spans="2:24">
      <c r="B464" s="16"/>
      <c r="C464" s="16"/>
      <c r="D464" s="16"/>
      <c r="E464" s="16"/>
      <c r="F464" s="209"/>
      <c r="G464" s="209"/>
      <c r="H464" s="209"/>
      <c r="I464" s="209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 spans="2:24">
      <c r="B465" s="16"/>
      <c r="C465" s="16"/>
      <c r="D465" s="16"/>
      <c r="E465" s="16"/>
      <c r="F465" s="209"/>
      <c r="G465" s="209"/>
      <c r="H465" s="209"/>
      <c r="I465" s="209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 spans="2:24">
      <c r="B466" s="16"/>
      <c r="C466" s="16"/>
      <c r="D466" s="16"/>
      <c r="E466" s="16"/>
      <c r="F466" s="209"/>
      <c r="G466" s="209"/>
      <c r="H466" s="209"/>
      <c r="I466" s="209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 spans="2:24">
      <c r="B467" s="16"/>
      <c r="C467" s="16"/>
      <c r="D467" s="16"/>
      <c r="E467" s="16"/>
      <c r="F467" s="209"/>
      <c r="G467" s="209"/>
      <c r="H467" s="209"/>
      <c r="I467" s="209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 spans="2:24">
      <c r="B468" s="16"/>
      <c r="C468" s="16"/>
      <c r="D468" s="16"/>
      <c r="E468" s="16"/>
      <c r="F468" s="209"/>
      <c r="G468" s="209"/>
      <c r="H468" s="209"/>
      <c r="I468" s="209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 spans="2:24">
      <c r="B469" s="16"/>
      <c r="C469" s="16"/>
      <c r="D469" s="16"/>
      <c r="E469" s="16"/>
      <c r="F469" s="209"/>
      <c r="G469" s="209"/>
      <c r="H469" s="209"/>
      <c r="I469" s="209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 spans="2:24">
      <c r="B470" s="16"/>
      <c r="C470" s="16"/>
      <c r="D470" s="16"/>
      <c r="E470" s="16"/>
      <c r="F470" s="209"/>
      <c r="G470" s="209"/>
      <c r="H470" s="209"/>
      <c r="I470" s="209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 spans="2:24">
      <c r="B471" s="16"/>
      <c r="C471" s="16"/>
      <c r="D471" s="16"/>
      <c r="E471" s="16"/>
      <c r="F471" s="209"/>
      <c r="G471" s="209"/>
      <c r="H471" s="209"/>
      <c r="I471" s="209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 spans="2:24">
      <c r="B472" s="16"/>
      <c r="C472" s="16"/>
      <c r="D472" s="16"/>
      <c r="E472" s="16"/>
      <c r="F472" s="209"/>
      <c r="G472" s="209"/>
      <c r="H472" s="209"/>
      <c r="I472" s="209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 spans="2:24">
      <c r="B473" s="16"/>
      <c r="C473" s="16"/>
      <c r="D473" s="16"/>
      <c r="E473" s="16"/>
      <c r="F473" s="209"/>
      <c r="G473" s="209"/>
      <c r="H473" s="209"/>
      <c r="I473" s="209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 spans="2:24">
      <c r="B474" s="16"/>
      <c r="C474" s="16"/>
      <c r="D474" s="16"/>
      <c r="E474" s="16"/>
      <c r="F474" s="209"/>
      <c r="G474" s="209"/>
      <c r="H474" s="209"/>
      <c r="I474" s="209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 spans="2:24">
      <c r="B475" s="16"/>
      <c r="C475" s="16"/>
      <c r="D475" s="16"/>
      <c r="E475" s="16"/>
      <c r="F475" s="209"/>
      <c r="G475" s="209"/>
      <c r="H475" s="209"/>
      <c r="I475" s="209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 spans="2:24">
      <c r="B476" s="16"/>
      <c r="C476" s="16"/>
      <c r="D476" s="16"/>
      <c r="E476" s="16"/>
      <c r="F476" s="209"/>
      <c r="G476" s="209"/>
      <c r="H476" s="209"/>
      <c r="I476" s="209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 spans="2:24">
      <c r="B477" s="16"/>
      <c r="C477" s="16"/>
      <c r="D477" s="16"/>
      <c r="E477" s="16"/>
      <c r="F477" s="209"/>
      <c r="G477" s="209"/>
      <c r="H477" s="209"/>
      <c r="I477" s="209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 spans="2:24">
      <c r="B478" s="16"/>
      <c r="C478" s="16"/>
      <c r="D478" s="16"/>
      <c r="E478" s="16"/>
      <c r="F478" s="209"/>
      <c r="G478" s="209"/>
      <c r="H478" s="209"/>
      <c r="I478" s="209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 spans="2:24">
      <c r="B479" s="16"/>
      <c r="C479" s="16"/>
      <c r="D479" s="16"/>
      <c r="E479" s="16"/>
      <c r="F479" s="209"/>
      <c r="G479" s="209"/>
      <c r="H479" s="209"/>
      <c r="I479" s="209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 spans="2:24">
      <c r="B480" s="16"/>
      <c r="C480" s="16"/>
      <c r="D480" s="16"/>
      <c r="E480" s="16"/>
      <c r="F480" s="209"/>
      <c r="G480" s="209"/>
      <c r="H480" s="209"/>
      <c r="I480" s="209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 spans="2:24">
      <c r="B481" s="16"/>
      <c r="C481" s="16"/>
      <c r="D481" s="16"/>
      <c r="E481" s="16"/>
      <c r="F481" s="209"/>
      <c r="G481" s="209"/>
      <c r="H481" s="209"/>
      <c r="I481" s="209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 spans="2:24">
      <c r="B482" s="16"/>
      <c r="C482" s="16"/>
      <c r="D482" s="16"/>
      <c r="E482" s="16"/>
      <c r="F482" s="209"/>
      <c r="G482" s="209"/>
      <c r="H482" s="209"/>
      <c r="I482" s="209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 spans="2:24">
      <c r="B483" s="16"/>
      <c r="C483" s="16"/>
      <c r="D483" s="16"/>
      <c r="E483" s="16"/>
      <c r="F483" s="209"/>
      <c r="G483" s="209"/>
      <c r="H483" s="209"/>
      <c r="I483" s="209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 spans="2:24">
      <c r="B484" s="16"/>
      <c r="C484" s="16"/>
      <c r="D484" s="16"/>
      <c r="E484" s="16"/>
      <c r="F484" s="209"/>
      <c r="G484" s="209"/>
      <c r="H484" s="209"/>
      <c r="I484" s="209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 spans="2:24">
      <c r="B485" s="16"/>
      <c r="C485" s="16"/>
      <c r="D485" s="16"/>
      <c r="E485" s="16"/>
      <c r="F485" s="209"/>
      <c r="G485" s="209"/>
      <c r="H485" s="209"/>
      <c r="I485" s="209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 spans="2:24">
      <c r="B486" s="16"/>
      <c r="C486" s="16"/>
      <c r="D486" s="16"/>
      <c r="E486" s="16"/>
      <c r="F486" s="209"/>
      <c r="G486" s="209"/>
      <c r="H486" s="209"/>
      <c r="I486" s="209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 spans="2:24">
      <c r="B487" s="16"/>
      <c r="C487" s="16"/>
      <c r="D487" s="16"/>
      <c r="E487" s="16"/>
      <c r="F487" s="209"/>
      <c r="G487" s="209"/>
      <c r="H487" s="209"/>
      <c r="I487" s="209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 spans="2:24">
      <c r="B488" s="16"/>
      <c r="C488" s="16"/>
      <c r="D488" s="16"/>
      <c r="E488" s="16"/>
      <c r="F488" s="209"/>
      <c r="G488" s="209"/>
      <c r="H488" s="209"/>
      <c r="I488" s="209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 spans="2:24">
      <c r="B489" s="16"/>
      <c r="C489" s="16"/>
      <c r="D489" s="16"/>
      <c r="E489" s="16"/>
      <c r="F489" s="209"/>
      <c r="G489" s="209"/>
      <c r="H489" s="209"/>
      <c r="I489" s="209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 spans="2:24">
      <c r="B490" s="16"/>
      <c r="C490" s="16"/>
      <c r="D490" s="16"/>
      <c r="E490" s="16"/>
      <c r="F490" s="209"/>
      <c r="G490" s="209"/>
      <c r="H490" s="209"/>
      <c r="I490" s="209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 spans="2:24">
      <c r="B491" s="16"/>
      <c r="C491" s="16"/>
      <c r="D491" s="16"/>
      <c r="E491" s="16"/>
      <c r="F491" s="209"/>
      <c r="G491" s="209"/>
      <c r="H491" s="209"/>
      <c r="I491" s="209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 spans="2:24">
      <c r="B492" s="16"/>
      <c r="C492" s="16"/>
      <c r="D492" s="16"/>
      <c r="E492" s="16"/>
      <c r="F492" s="209"/>
      <c r="G492" s="209"/>
      <c r="H492" s="209"/>
      <c r="I492" s="209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 spans="2:24">
      <c r="B493" s="16"/>
      <c r="C493" s="16"/>
      <c r="D493" s="16"/>
      <c r="E493" s="16"/>
      <c r="F493" s="209"/>
      <c r="G493" s="209"/>
      <c r="H493" s="209"/>
      <c r="I493" s="209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 spans="2:24">
      <c r="B494" s="16"/>
      <c r="C494" s="16"/>
      <c r="D494" s="16"/>
      <c r="E494" s="16"/>
      <c r="F494" s="209"/>
      <c r="G494" s="209"/>
      <c r="H494" s="209"/>
      <c r="I494" s="209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 spans="2:24">
      <c r="B495" s="16"/>
      <c r="C495" s="16"/>
      <c r="D495" s="16"/>
      <c r="E495" s="16"/>
      <c r="F495" s="209"/>
      <c r="G495" s="209"/>
      <c r="H495" s="209"/>
      <c r="I495" s="209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 spans="2:24">
      <c r="B496" s="16"/>
      <c r="C496" s="16"/>
      <c r="D496" s="16"/>
      <c r="E496" s="16"/>
      <c r="F496" s="209"/>
      <c r="G496" s="209"/>
      <c r="H496" s="209"/>
      <c r="I496" s="209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 spans="2:24">
      <c r="B497" s="16"/>
      <c r="C497" s="16"/>
      <c r="D497" s="16"/>
      <c r="E497" s="16"/>
      <c r="F497" s="209"/>
      <c r="G497" s="209"/>
      <c r="H497" s="209"/>
      <c r="I497" s="209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 spans="2:24">
      <c r="B498" s="16"/>
      <c r="C498" s="16"/>
      <c r="D498" s="16"/>
      <c r="E498" s="16"/>
      <c r="F498" s="209"/>
      <c r="G498" s="209"/>
      <c r="H498" s="209"/>
      <c r="I498" s="209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 spans="2:24">
      <c r="B499" s="16"/>
      <c r="C499" s="16"/>
      <c r="D499" s="16"/>
      <c r="E499" s="16"/>
      <c r="F499" s="209"/>
      <c r="G499" s="209"/>
      <c r="H499" s="209"/>
      <c r="I499" s="209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 spans="2:24">
      <c r="B500" s="16"/>
      <c r="C500" s="16"/>
      <c r="D500" s="16"/>
      <c r="E500" s="16"/>
      <c r="F500" s="209"/>
      <c r="G500" s="209"/>
      <c r="H500" s="209"/>
      <c r="I500" s="209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 spans="2:24">
      <c r="B501" s="16"/>
      <c r="C501" s="16"/>
      <c r="D501" s="16"/>
      <c r="E501" s="16"/>
      <c r="F501" s="209"/>
      <c r="G501" s="209"/>
      <c r="H501" s="209"/>
      <c r="I501" s="209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 spans="2:24">
      <c r="B502" s="16"/>
      <c r="C502" s="16"/>
      <c r="D502" s="16"/>
      <c r="E502" s="16"/>
      <c r="F502" s="209"/>
      <c r="G502" s="209"/>
      <c r="H502" s="209"/>
      <c r="I502" s="209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 spans="2:24">
      <c r="B503" s="16"/>
      <c r="C503" s="16"/>
      <c r="D503" s="16"/>
      <c r="E503" s="16"/>
      <c r="F503" s="209"/>
      <c r="G503" s="209"/>
      <c r="H503" s="209"/>
      <c r="I503" s="209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 spans="2:24">
      <c r="B504" s="16"/>
      <c r="C504" s="16"/>
      <c r="D504" s="16"/>
      <c r="E504" s="16"/>
      <c r="F504" s="209"/>
      <c r="G504" s="209"/>
      <c r="H504" s="209"/>
      <c r="I504" s="209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 spans="2:24">
      <c r="B505" s="16"/>
      <c r="C505" s="16"/>
      <c r="D505" s="16"/>
      <c r="E505" s="16"/>
      <c r="F505" s="209"/>
      <c r="G505" s="209"/>
      <c r="H505" s="209"/>
      <c r="I505" s="209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 spans="2:24">
      <c r="B506" s="16"/>
      <c r="C506" s="16"/>
      <c r="D506" s="16"/>
      <c r="E506" s="16"/>
      <c r="F506" s="209"/>
      <c r="G506" s="209"/>
      <c r="H506" s="209"/>
      <c r="I506" s="209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 spans="2:24">
      <c r="B507" s="16"/>
      <c r="C507" s="16"/>
      <c r="D507" s="16"/>
      <c r="E507" s="16"/>
      <c r="F507" s="209"/>
      <c r="G507" s="209"/>
      <c r="H507" s="209"/>
      <c r="I507" s="209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 spans="2:24">
      <c r="B508" s="16"/>
      <c r="C508" s="16"/>
      <c r="D508" s="16"/>
      <c r="E508" s="16"/>
      <c r="F508" s="209"/>
      <c r="G508" s="209"/>
      <c r="H508" s="209"/>
      <c r="I508" s="209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 spans="2:24">
      <c r="B509" s="16"/>
      <c r="C509" s="16"/>
      <c r="D509" s="16"/>
      <c r="E509" s="16"/>
      <c r="F509" s="209"/>
      <c r="G509" s="209"/>
      <c r="H509" s="209"/>
      <c r="I509" s="209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 spans="2:24">
      <c r="B510" s="16"/>
      <c r="C510" s="16"/>
      <c r="D510" s="16"/>
      <c r="E510" s="16"/>
      <c r="F510" s="209"/>
      <c r="G510" s="209"/>
      <c r="H510" s="209"/>
      <c r="I510" s="209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 spans="2:24">
      <c r="B511" s="16"/>
      <c r="C511" s="16"/>
      <c r="D511" s="16"/>
      <c r="E511" s="16"/>
      <c r="F511" s="209"/>
      <c r="G511" s="209"/>
      <c r="H511" s="209"/>
      <c r="I511" s="209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 spans="2:24">
      <c r="B512" s="16"/>
      <c r="C512" s="16"/>
      <c r="D512" s="16"/>
      <c r="E512" s="16"/>
      <c r="F512" s="209"/>
      <c r="G512" s="209"/>
      <c r="H512" s="209"/>
      <c r="I512" s="209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 spans="2:24">
      <c r="B513" s="16"/>
      <c r="C513" s="16"/>
      <c r="D513" s="16"/>
      <c r="E513" s="16"/>
      <c r="F513" s="209"/>
      <c r="G513" s="209"/>
      <c r="H513" s="209"/>
      <c r="I513" s="209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 spans="2:24">
      <c r="B514" s="16"/>
      <c r="C514" s="16"/>
      <c r="D514" s="16"/>
      <c r="E514" s="16"/>
      <c r="F514" s="209"/>
      <c r="G514" s="209"/>
      <c r="H514" s="209"/>
      <c r="I514" s="209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 spans="2:24">
      <c r="B515" s="16"/>
      <c r="C515" s="16"/>
      <c r="D515" s="16"/>
      <c r="E515" s="16"/>
      <c r="F515" s="209"/>
      <c r="G515" s="209"/>
      <c r="H515" s="209"/>
      <c r="I515" s="209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 spans="2:24">
      <c r="B516" s="16"/>
      <c r="C516" s="16"/>
      <c r="D516" s="16"/>
      <c r="E516" s="16"/>
      <c r="F516" s="209"/>
      <c r="G516" s="209"/>
      <c r="H516" s="209"/>
      <c r="I516" s="209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 spans="2:24">
      <c r="B517" s="16"/>
      <c r="C517" s="16"/>
      <c r="D517" s="16"/>
      <c r="E517" s="16"/>
      <c r="F517" s="209"/>
      <c r="G517" s="209"/>
      <c r="H517" s="209"/>
      <c r="I517" s="209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 spans="2:24">
      <c r="B518" s="16"/>
      <c r="C518" s="16"/>
      <c r="D518" s="16"/>
      <c r="E518" s="16"/>
      <c r="F518" s="209"/>
      <c r="G518" s="209"/>
      <c r="H518" s="209"/>
      <c r="I518" s="209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 spans="2:24">
      <c r="B519" s="16"/>
      <c r="C519" s="16"/>
      <c r="D519" s="16"/>
      <c r="E519" s="16"/>
      <c r="F519" s="209"/>
      <c r="G519" s="209"/>
      <c r="H519" s="209"/>
      <c r="I519" s="209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 spans="2:24">
      <c r="B520" s="16"/>
      <c r="C520" s="16"/>
      <c r="D520" s="16"/>
      <c r="E520" s="16"/>
      <c r="F520" s="209"/>
      <c r="G520" s="209"/>
      <c r="H520" s="209"/>
      <c r="I520" s="209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 spans="2:24">
      <c r="B521" s="16"/>
      <c r="C521" s="16"/>
      <c r="D521" s="16"/>
      <c r="E521" s="16"/>
      <c r="F521" s="209"/>
      <c r="G521" s="209"/>
      <c r="H521" s="209"/>
      <c r="I521" s="209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 spans="2:24">
      <c r="B522" s="16"/>
      <c r="C522" s="16"/>
      <c r="D522" s="16"/>
      <c r="E522" s="16"/>
      <c r="F522" s="209"/>
      <c r="G522" s="209"/>
      <c r="H522" s="209"/>
      <c r="I522" s="209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 spans="2:24">
      <c r="B523" s="16"/>
      <c r="C523" s="16"/>
      <c r="D523" s="16"/>
      <c r="E523" s="16"/>
      <c r="F523" s="209"/>
      <c r="G523" s="209"/>
      <c r="H523" s="209"/>
      <c r="I523" s="209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 spans="2:24">
      <c r="B524" s="16"/>
      <c r="C524" s="16"/>
      <c r="D524" s="16"/>
      <c r="E524" s="16"/>
      <c r="F524" s="209"/>
      <c r="G524" s="209"/>
      <c r="H524" s="209"/>
      <c r="I524" s="209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 spans="2:24">
      <c r="B525" s="16"/>
      <c r="C525" s="16"/>
      <c r="D525" s="16"/>
      <c r="E525" s="16"/>
      <c r="F525" s="209"/>
      <c r="G525" s="209"/>
      <c r="H525" s="209"/>
      <c r="I525" s="209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 spans="2:24">
      <c r="B526" s="16"/>
      <c r="C526" s="16"/>
      <c r="D526" s="16"/>
      <c r="E526" s="16"/>
      <c r="F526" s="209"/>
      <c r="G526" s="209"/>
      <c r="H526" s="209"/>
      <c r="I526" s="209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 spans="2:24">
      <c r="B527" s="16"/>
      <c r="C527" s="16"/>
      <c r="D527" s="16"/>
      <c r="E527" s="16"/>
      <c r="F527" s="209"/>
      <c r="G527" s="209"/>
      <c r="H527" s="209"/>
      <c r="I527" s="209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 spans="2:24">
      <c r="B528" s="16"/>
      <c r="C528" s="16"/>
      <c r="D528" s="16"/>
      <c r="E528" s="16"/>
      <c r="F528" s="209"/>
      <c r="G528" s="209"/>
      <c r="H528" s="209"/>
      <c r="I528" s="209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 spans="2:24">
      <c r="B529" s="16"/>
      <c r="C529" s="16"/>
      <c r="D529" s="16"/>
      <c r="E529" s="16"/>
      <c r="F529" s="209"/>
      <c r="G529" s="209"/>
      <c r="H529" s="209"/>
      <c r="I529" s="209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 spans="2:24">
      <c r="B530" s="16"/>
      <c r="C530" s="16"/>
      <c r="D530" s="16"/>
      <c r="E530" s="16"/>
      <c r="F530" s="209"/>
      <c r="G530" s="209"/>
      <c r="H530" s="209"/>
      <c r="I530" s="209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 spans="2:24">
      <c r="B531" s="16"/>
      <c r="C531" s="16"/>
      <c r="D531" s="16"/>
      <c r="E531" s="16"/>
      <c r="F531" s="209"/>
      <c r="G531" s="209"/>
      <c r="H531" s="209"/>
      <c r="I531" s="209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 spans="2:24">
      <c r="B532" s="16"/>
      <c r="C532" s="16"/>
      <c r="D532" s="16"/>
      <c r="E532" s="16"/>
      <c r="F532" s="209"/>
      <c r="G532" s="209"/>
      <c r="H532" s="209"/>
      <c r="I532" s="209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 spans="2:24">
      <c r="B533" s="16"/>
      <c r="C533" s="16"/>
      <c r="D533" s="16"/>
      <c r="E533" s="16"/>
      <c r="F533" s="209"/>
      <c r="G533" s="209"/>
      <c r="H533" s="209"/>
      <c r="I533" s="209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 spans="2:24">
      <c r="B534" s="16"/>
      <c r="C534" s="16"/>
      <c r="D534" s="16"/>
      <c r="E534" s="16"/>
      <c r="F534" s="209"/>
      <c r="G534" s="209"/>
      <c r="H534" s="209"/>
      <c r="I534" s="209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 spans="2:24">
      <c r="B535" s="16"/>
      <c r="C535" s="16"/>
      <c r="D535" s="16"/>
      <c r="E535" s="16"/>
      <c r="F535" s="209"/>
      <c r="G535" s="209"/>
      <c r="H535" s="209"/>
      <c r="I535" s="209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 spans="2:24">
      <c r="B536" s="16"/>
      <c r="C536" s="16"/>
      <c r="D536" s="16"/>
      <c r="E536" s="16"/>
      <c r="F536" s="209"/>
      <c r="G536" s="209"/>
      <c r="H536" s="209"/>
      <c r="I536" s="209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 spans="2:24">
      <c r="B537" s="16"/>
      <c r="C537" s="16"/>
      <c r="D537" s="16"/>
      <c r="E537" s="16"/>
      <c r="F537" s="209"/>
      <c r="G537" s="209"/>
      <c r="H537" s="209"/>
      <c r="I537" s="209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 spans="2:24">
      <c r="B538" s="16"/>
      <c r="C538" s="16"/>
      <c r="D538" s="16"/>
      <c r="E538" s="16"/>
      <c r="F538" s="209"/>
      <c r="G538" s="209"/>
      <c r="H538" s="209"/>
      <c r="I538" s="209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 spans="2:24">
      <c r="B539" s="16"/>
      <c r="C539" s="16"/>
      <c r="D539" s="16"/>
      <c r="E539" s="16"/>
      <c r="F539" s="209"/>
      <c r="G539" s="209"/>
      <c r="H539" s="209"/>
      <c r="I539" s="209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 spans="2:24">
      <c r="B540" s="16"/>
      <c r="C540" s="16"/>
      <c r="D540" s="16"/>
      <c r="E540" s="16"/>
      <c r="F540" s="209"/>
      <c r="G540" s="209"/>
      <c r="H540" s="209"/>
      <c r="I540" s="209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 spans="2:24">
      <c r="B541" s="16"/>
      <c r="C541" s="16"/>
      <c r="D541" s="16"/>
      <c r="E541" s="16"/>
      <c r="F541" s="209"/>
      <c r="G541" s="209"/>
      <c r="H541" s="209"/>
      <c r="I541" s="209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 spans="2:24">
      <c r="B542" s="16"/>
      <c r="C542" s="16"/>
      <c r="D542" s="16"/>
      <c r="E542" s="16"/>
      <c r="F542" s="209"/>
      <c r="G542" s="209"/>
      <c r="H542" s="209"/>
      <c r="I542" s="209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 spans="2:24">
      <c r="B543" s="16"/>
      <c r="C543" s="16"/>
      <c r="D543" s="16"/>
      <c r="E543" s="16"/>
      <c r="F543" s="209"/>
      <c r="G543" s="209"/>
      <c r="H543" s="209"/>
      <c r="I543" s="209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 spans="2:24">
      <c r="B544" s="16"/>
      <c r="C544" s="16"/>
      <c r="D544" s="16"/>
      <c r="E544" s="16"/>
      <c r="F544" s="209"/>
      <c r="G544" s="209"/>
      <c r="H544" s="209"/>
      <c r="I544" s="209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 spans="2:24">
      <c r="B545" s="16"/>
      <c r="C545" s="16"/>
      <c r="D545" s="16"/>
      <c r="E545" s="16"/>
      <c r="F545" s="209"/>
      <c r="G545" s="209"/>
      <c r="H545" s="209"/>
      <c r="I545" s="209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 spans="2:24">
      <c r="B546" s="16"/>
      <c r="C546" s="16"/>
      <c r="D546" s="16"/>
      <c r="E546" s="16"/>
      <c r="F546" s="209"/>
      <c r="G546" s="209"/>
      <c r="H546" s="209"/>
      <c r="I546" s="209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 spans="2:24">
      <c r="B547" s="16"/>
      <c r="C547" s="16"/>
      <c r="D547" s="16"/>
      <c r="E547" s="16"/>
      <c r="F547" s="209"/>
      <c r="G547" s="209"/>
      <c r="H547" s="209"/>
      <c r="I547" s="209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 spans="2:24">
      <c r="B548" s="16"/>
      <c r="C548" s="16"/>
      <c r="D548" s="16"/>
      <c r="E548" s="16"/>
      <c r="F548" s="209"/>
      <c r="G548" s="209"/>
      <c r="H548" s="209"/>
      <c r="I548" s="209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 spans="2:24">
      <c r="B549" s="16"/>
      <c r="C549" s="16"/>
      <c r="D549" s="16"/>
      <c r="E549" s="16"/>
      <c r="F549" s="209"/>
      <c r="G549" s="209"/>
      <c r="H549" s="209"/>
      <c r="I549" s="209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 spans="2:24">
      <c r="B550" s="16"/>
      <c r="C550" s="16"/>
      <c r="D550" s="16"/>
      <c r="E550" s="16"/>
      <c r="F550" s="209"/>
      <c r="G550" s="209"/>
      <c r="H550" s="209"/>
      <c r="I550" s="209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 spans="2:24">
      <c r="B551" s="16"/>
      <c r="C551" s="16"/>
      <c r="D551" s="16"/>
      <c r="E551" s="16"/>
      <c r="F551" s="209"/>
      <c r="G551" s="209"/>
      <c r="H551" s="209"/>
      <c r="I551" s="209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 spans="2:24">
      <c r="B552" s="16"/>
      <c r="C552" s="16"/>
      <c r="D552" s="16"/>
      <c r="E552" s="16"/>
      <c r="F552" s="209"/>
      <c r="G552" s="209"/>
      <c r="H552" s="209"/>
      <c r="I552" s="209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 spans="2:24">
      <c r="B553" s="16"/>
      <c r="C553" s="16"/>
      <c r="D553" s="16"/>
      <c r="E553" s="16"/>
      <c r="F553" s="209"/>
      <c r="G553" s="209"/>
      <c r="H553" s="209"/>
      <c r="I553" s="209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 spans="2:24">
      <c r="B554" s="16"/>
      <c r="C554" s="16"/>
      <c r="D554" s="16"/>
      <c r="E554" s="16"/>
      <c r="F554" s="209"/>
      <c r="G554" s="209"/>
      <c r="H554" s="209"/>
      <c r="I554" s="209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 spans="2:24">
      <c r="B555" s="16"/>
      <c r="C555" s="16"/>
      <c r="D555" s="16"/>
      <c r="E555" s="16"/>
      <c r="F555" s="209"/>
      <c r="G555" s="209"/>
      <c r="H555" s="209"/>
      <c r="I555" s="209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 spans="2:24">
      <c r="B556" s="16"/>
      <c r="C556" s="16"/>
      <c r="D556" s="16"/>
      <c r="E556" s="16"/>
      <c r="F556" s="209"/>
      <c r="G556" s="209"/>
      <c r="H556" s="209"/>
      <c r="I556" s="209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 spans="2:24">
      <c r="B557" s="16"/>
      <c r="C557" s="16"/>
      <c r="D557" s="16"/>
      <c r="E557" s="16"/>
      <c r="F557" s="209"/>
      <c r="G557" s="209"/>
      <c r="H557" s="209"/>
      <c r="I557" s="209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 spans="2:24">
      <c r="B558" s="16"/>
      <c r="C558" s="16"/>
      <c r="D558" s="16"/>
      <c r="E558" s="16"/>
      <c r="F558" s="209"/>
      <c r="G558" s="209"/>
      <c r="H558" s="209"/>
      <c r="I558" s="209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 spans="2:24">
      <c r="B559" s="16"/>
      <c r="C559" s="16"/>
      <c r="D559" s="16"/>
      <c r="E559" s="16"/>
      <c r="F559" s="209"/>
      <c r="G559" s="209"/>
      <c r="H559" s="209"/>
      <c r="I559" s="209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 spans="2:24">
      <c r="B560" s="16"/>
      <c r="C560" s="16"/>
      <c r="D560" s="16"/>
      <c r="E560" s="16"/>
      <c r="F560" s="209"/>
      <c r="G560" s="209"/>
      <c r="H560" s="209"/>
      <c r="I560" s="209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 spans="2:24">
      <c r="B561" s="16"/>
      <c r="C561" s="16"/>
      <c r="D561" s="16"/>
      <c r="E561" s="16"/>
      <c r="F561" s="209"/>
      <c r="G561" s="209"/>
      <c r="H561" s="209"/>
      <c r="I561" s="209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 spans="2:24">
      <c r="B562" s="16"/>
      <c r="C562" s="16"/>
      <c r="D562" s="16"/>
      <c r="E562" s="16"/>
      <c r="F562" s="209"/>
      <c r="G562" s="209"/>
      <c r="H562" s="209"/>
      <c r="I562" s="209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 spans="2:24">
      <c r="B563" s="16"/>
      <c r="C563" s="16"/>
      <c r="D563" s="16"/>
      <c r="E563" s="16"/>
      <c r="F563" s="209"/>
      <c r="G563" s="209"/>
      <c r="H563" s="209"/>
      <c r="I563" s="209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 spans="2:24">
      <c r="B564" s="16"/>
      <c r="C564" s="16"/>
      <c r="D564" s="16"/>
      <c r="E564" s="16"/>
      <c r="F564" s="209"/>
      <c r="G564" s="209"/>
      <c r="H564" s="209"/>
      <c r="I564" s="209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 spans="2:24">
      <c r="B565" s="16"/>
      <c r="C565" s="16"/>
      <c r="D565" s="16"/>
      <c r="E565" s="16"/>
      <c r="F565" s="209"/>
      <c r="G565" s="209"/>
      <c r="H565" s="209"/>
      <c r="I565" s="209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 spans="2:24">
      <c r="B566" s="16"/>
      <c r="C566" s="16"/>
      <c r="D566" s="16"/>
      <c r="E566" s="16"/>
      <c r="F566" s="209"/>
      <c r="G566" s="209"/>
      <c r="H566" s="209"/>
      <c r="I566" s="209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 spans="2:24">
      <c r="B567" s="16"/>
      <c r="C567" s="16"/>
      <c r="D567" s="16"/>
      <c r="E567" s="16"/>
      <c r="F567" s="209"/>
      <c r="G567" s="209"/>
      <c r="H567" s="209"/>
      <c r="I567" s="209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 spans="2:24">
      <c r="B568" s="16"/>
      <c r="C568" s="16"/>
      <c r="D568" s="16"/>
      <c r="E568" s="16"/>
      <c r="F568" s="209"/>
      <c r="G568" s="209"/>
      <c r="H568" s="209"/>
      <c r="I568" s="209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 spans="2:24">
      <c r="B569" s="16"/>
      <c r="C569" s="16"/>
      <c r="D569" s="16"/>
      <c r="E569" s="16"/>
      <c r="F569" s="209"/>
      <c r="G569" s="209"/>
      <c r="H569" s="209"/>
      <c r="I569" s="209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 spans="2:24">
      <c r="B570" s="16"/>
      <c r="C570" s="16"/>
      <c r="D570" s="16"/>
      <c r="E570" s="16"/>
      <c r="F570" s="209"/>
      <c r="G570" s="209"/>
      <c r="H570" s="209"/>
      <c r="I570" s="209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 spans="2:24">
      <c r="B571" s="16"/>
      <c r="C571" s="16"/>
      <c r="D571" s="16"/>
      <c r="E571" s="16"/>
      <c r="F571" s="209"/>
      <c r="G571" s="209"/>
      <c r="H571" s="209"/>
      <c r="I571" s="209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 spans="2:24">
      <c r="B572" s="16"/>
      <c r="C572" s="16"/>
      <c r="D572" s="16"/>
      <c r="E572" s="16"/>
      <c r="F572" s="209"/>
      <c r="G572" s="209"/>
      <c r="H572" s="209"/>
      <c r="I572" s="209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 spans="2:24">
      <c r="B573" s="16"/>
      <c r="C573" s="16"/>
      <c r="D573" s="16"/>
      <c r="E573" s="16"/>
      <c r="F573" s="209"/>
      <c r="G573" s="209"/>
      <c r="H573" s="209"/>
      <c r="I573" s="209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 spans="2:24">
      <c r="B574" s="16"/>
      <c r="C574" s="16"/>
      <c r="D574" s="16"/>
      <c r="E574" s="16"/>
      <c r="F574" s="209"/>
      <c r="G574" s="209"/>
      <c r="H574" s="209"/>
      <c r="I574" s="209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 spans="2:24">
      <c r="B575" s="16"/>
      <c r="C575" s="16"/>
      <c r="D575" s="16"/>
      <c r="E575" s="16"/>
      <c r="F575" s="209"/>
      <c r="G575" s="209"/>
      <c r="H575" s="209"/>
      <c r="I575" s="209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 spans="2:24">
      <c r="B576" s="16"/>
      <c r="C576" s="16"/>
      <c r="D576" s="16"/>
      <c r="E576" s="16"/>
      <c r="F576" s="209"/>
      <c r="G576" s="209"/>
      <c r="H576" s="209"/>
      <c r="I576" s="209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 spans="2:24">
      <c r="B577" s="16"/>
      <c r="C577" s="16"/>
      <c r="D577" s="16"/>
      <c r="E577" s="16"/>
      <c r="F577" s="209"/>
      <c r="G577" s="209"/>
      <c r="H577" s="209"/>
      <c r="I577" s="209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 spans="2:24">
      <c r="B578" s="16"/>
      <c r="C578" s="16"/>
      <c r="D578" s="16"/>
      <c r="E578" s="16"/>
      <c r="F578" s="209"/>
      <c r="G578" s="209"/>
      <c r="H578" s="209"/>
      <c r="I578" s="209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 spans="2:24">
      <c r="B579" s="16"/>
      <c r="C579" s="16"/>
      <c r="D579" s="16"/>
      <c r="E579" s="16"/>
      <c r="F579" s="209"/>
      <c r="G579" s="209"/>
      <c r="H579" s="209"/>
      <c r="I579" s="209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 spans="2:24">
      <c r="B580" s="16"/>
      <c r="C580" s="16"/>
      <c r="D580" s="16"/>
      <c r="E580" s="16"/>
      <c r="F580" s="209"/>
      <c r="G580" s="209"/>
      <c r="H580" s="209"/>
      <c r="I580" s="209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 spans="2:24">
      <c r="B581" s="16"/>
      <c r="C581" s="16"/>
      <c r="D581" s="16"/>
      <c r="E581" s="16"/>
      <c r="F581" s="209"/>
      <c r="G581" s="209"/>
      <c r="H581" s="209"/>
      <c r="I581" s="209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 spans="2:24">
      <c r="B582" s="16"/>
      <c r="C582" s="16"/>
      <c r="D582" s="16"/>
      <c r="E582" s="16"/>
      <c r="F582" s="209"/>
      <c r="G582" s="209"/>
      <c r="H582" s="209"/>
      <c r="I582" s="209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 spans="2:24">
      <c r="B583" s="16"/>
      <c r="C583" s="16"/>
      <c r="D583" s="16"/>
      <c r="E583" s="16"/>
      <c r="F583" s="209"/>
      <c r="G583" s="209"/>
      <c r="H583" s="209"/>
      <c r="I583" s="209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 spans="2:24">
      <c r="B584" s="16"/>
      <c r="C584" s="16"/>
      <c r="D584" s="16"/>
      <c r="E584" s="16"/>
      <c r="F584" s="209"/>
      <c r="G584" s="209"/>
      <c r="H584" s="209"/>
      <c r="I584" s="209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 spans="2:24">
      <c r="B585" s="16"/>
      <c r="C585" s="16"/>
      <c r="D585" s="16"/>
      <c r="E585" s="16"/>
      <c r="F585" s="209"/>
      <c r="G585" s="209"/>
      <c r="H585" s="209"/>
      <c r="I585" s="209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 spans="2:24">
      <c r="B586" s="16"/>
      <c r="C586" s="16"/>
      <c r="D586" s="16"/>
      <c r="E586" s="16"/>
      <c r="F586" s="209"/>
      <c r="G586" s="209"/>
      <c r="H586" s="209"/>
      <c r="I586" s="209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 spans="2:24">
      <c r="B587" s="16"/>
      <c r="C587" s="16"/>
      <c r="D587" s="16"/>
      <c r="E587" s="16"/>
      <c r="F587" s="209"/>
      <c r="G587" s="209"/>
      <c r="H587" s="209"/>
      <c r="I587" s="209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 spans="2:24">
      <c r="B588" s="16"/>
      <c r="C588" s="16"/>
      <c r="D588" s="16"/>
      <c r="E588" s="16"/>
      <c r="F588" s="209"/>
      <c r="G588" s="209"/>
      <c r="H588" s="209"/>
      <c r="I588" s="209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 spans="2:24">
      <c r="B589" s="16"/>
      <c r="C589" s="16"/>
      <c r="D589" s="16"/>
      <c r="E589" s="16"/>
      <c r="F589" s="209"/>
      <c r="G589" s="209"/>
      <c r="H589" s="209"/>
      <c r="I589" s="209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 spans="2:24">
      <c r="B590" s="16"/>
      <c r="C590" s="16"/>
      <c r="D590" s="16"/>
      <c r="E590" s="16"/>
      <c r="F590" s="209"/>
      <c r="G590" s="209"/>
      <c r="H590" s="209"/>
      <c r="I590" s="209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 spans="2:24">
      <c r="B591" s="16"/>
      <c r="C591" s="16"/>
      <c r="D591" s="16"/>
      <c r="E591" s="16"/>
      <c r="F591" s="209"/>
      <c r="G591" s="209"/>
      <c r="H591" s="209"/>
      <c r="I591" s="209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 spans="2:24">
      <c r="B592" s="16"/>
      <c r="C592" s="16"/>
      <c r="D592" s="16"/>
      <c r="E592" s="16"/>
      <c r="F592" s="209"/>
      <c r="G592" s="209"/>
      <c r="H592" s="209"/>
      <c r="I592" s="209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 spans="2:24">
      <c r="B593" s="16"/>
      <c r="C593" s="16"/>
      <c r="D593" s="16"/>
      <c r="E593" s="16"/>
      <c r="F593" s="209"/>
      <c r="G593" s="209"/>
      <c r="H593" s="209"/>
      <c r="I593" s="209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 spans="2:24">
      <c r="B594" s="16"/>
      <c r="C594" s="16"/>
      <c r="D594" s="16"/>
      <c r="E594" s="16"/>
      <c r="F594" s="209"/>
      <c r="G594" s="209"/>
      <c r="H594" s="209"/>
      <c r="I594" s="209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 spans="2:24">
      <c r="B595" s="16"/>
      <c r="C595" s="16"/>
      <c r="D595" s="16"/>
      <c r="E595" s="16"/>
      <c r="F595" s="209"/>
      <c r="G595" s="209"/>
      <c r="H595" s="209"/>
      <c r="I595" s="209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 spans="2:24">
      <c r="B596" s="16"/>
      <c r="C596" s="16"/>
      <c r="D596" s="16"/>
      <c r="E596" s="16"/>
      <c r="F596" s="209"/>
      <c r="G596" s="209"/>
      <c r="H596" s="209"/>
      <c r="I596" s="209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 spans="2:24">
      <c r="B597" s="16"/>
      <c r="C597" s="16"/>
      <c r="D597" s="16"/>
      <c r="E597" s="16"/>
      <c r="F597" s="209"/>
      <c r="G597" s="209"/>
      <c r="H597" s="209"/>
      <c r="I597" s="209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 spans="2:24">
      <c r="B598" s="16"/>
      <c r="C598" s="16"/>
      <c r="D598" s="16"/>
      <c r="E598" s="16"/>
      <c r="F598" s="209"/>
      <c r="G598" s="209"/>
      <c r="H598" s="209"/>
      <c r="I598" s="209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 spans="2:24">
      <c r="B599" s="16"/>
      <c r="C599" s="16"/>
      <c r="D599" s="16"/>
      <c r="E599" s="16"/>
      <c r="F599" s="209"/>
      <c r="G599" s="209"/>
      <c r="H599" s="209"/>
      <c r="I599" s="209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 spans="2:24">
      <c r="B600" s="16"/>
      <c r="C600" s="16"/>
      <c r="D600" s="16"/>
      <c r="E600" s="16"/>
      <c r="F600" s="209"/>
      <c r="G600" s="209"/>
      <c r="H600" s="209"/>
      <c r="I600" s="209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 spans="2:24">
      <c r="B601" s="16"/>
      <c r="C601" s="16"/>
      <c r="D601" s="16"/>
      <c r="E601" s="16"/>
      <c r="F601" s="209"/>
      <c r="G601" s="209"/>
      <c r="H601" s="209"/>
      <c r="I601" s="209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 spans="2:24">
      <c r="B602" s="16"/>
      <c r="C602" s="16"/>
      <c r="D602" s="16"/>
      <c r="E602" s="16"/>
      <c r="F602" s="209"/>
      <c r="G602" s="209"/>
      <c r="H602" s="209"/>
      <c r="I602" s="209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 spans="2:24">
      <c r="B603" s="16"/>
      <c r="C603" s="16"/>
      <c r="D603" s="16"/>
      <c r="E603" s="16"/>
      <c r="F603" s="209"/>
      <c r="G603" s="209"/>
      <c r="H603" s="209"/>
      <c r="I603" s="209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 spans="2:24">
      <c r="B604" s="16"/>
      <c r="C604" s="16"/>
      <c r="D604" s="16"/>
      <c r="E604" s="16"/>
      <c r="F604" s="209"/>
      <c r="G604" s="209"/>
      <c r="H604" s="209"/>
      <c r="I604" s="209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 spans="2:24">
      <c r="B605" s="16"/>
      <c r="C605" s="16"/>
      <c r="D605" s="16"/>
      <c r="E605" s="16"/>
      <c r="F605" s="209"/>
      <c r="G605" s="209"/>
      <c r="H605" s="209"/>
      <c r="I605" s="209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 spans="2:24">
      <c r="B606" s="16"/>
      <c r="C606" s="16"/>
      <c r="D606" s="16"/>
      <c r="E606" s="16"/>
      <c r="F606" s="209"/>
      <c r="G606" s="209"/>
      <c r="H606" s="209"/>
      <c r="I606" s="209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 spans="2:24">
      <c r="B607" s="16"/>
      <c r="C607" s="16"/>
      <c r="D607" s="16"/>
      <c r="E607" s="16"/>
      <c r="F607" s="209"/>
      <c r="G607" s="209"/>
      <c r="H607" s="209"/>
      <c r="I607" s="209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 spans="2:24">
      <c r="B608" s="16"/>
      <c r="C608" s="16"/>
      <c r="D608" s="16"/>
      <c r="E608" s="16"/>
      <c r="F608" s="209"/>
      <c r="G608" s="209"/>
      <c r="H608" s="209"/>
      <c r="I608" s="209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 spans="2:24">
      <c r="B609" s="16"/>
      <c r="C609" s="16"/>
      <c r="D609" s="16"/>
      <c r="E609" s="16"/>
      <c r="F609" s="209"/>
      <c r="G609" s="209"/>
      <c r="H609" s="209"/>
      <c r="I609" s="209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 spans="2:24">
      <c r="B610" s="16"/>
      <c r="C610" s="16"/>
      <c r="D610" s="16"/>
      <c r="E610" s="16"/>
      <c r="F610" s="209"/>
      <c r="G610" s="209"/>
      <c r="H610" s="209"/>
      <c r="I610" s="209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 spans="2:24">
      <c r="B611" s="16"/>
      <c r="C611" s="16"/>
      <c r="D611" s="16"/>
      <c r="E611" s="16"/>
      <c r="F611" s="209"/>
      <c r="G611" s="209"/>
      <c r="H611" s="209"/>
      <c r="I611" s="209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 spans="2:24">
      <c r="B612" s="16"/>
      <c r="C612" s="16"/>
      <c r="D612" s="16"/>
      <c r="E612" s="16"/>
      <c r="F612" s="209"/>
      <c r="G612" s="209"/>
      <c r="H612" s="209"/>
      <c r="I612" s="209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 spans="2:24">
      <c r="B613" s="16"/>
      <c r="C613" s="16"/>
      <c r="D613" s="16"/>
      <c r="E613" s="16"/>
      <c r="F613" s="209"/>
      <c r="G613" s="209"/>
      <c r="H613" s="209"/>
      <c r="I613" s="209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 spans="2:24">
      <c r="B614" s="16"/>
      <c r="C614" s="16"/>
      <c r="D614" s="16"/>
      <c r="E614" s="16"/>
      <c r="F614" s="209"/>
      <c r="G614" s="209"/>
      <c r="H614" s="209"/>
      <c r="I614" s="209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 spans="2:24">
      <c r="B615" s="16"/>
      <c r="C615" s="16"/>
      <c r="D615" s="16"/>
      <c r="E615" s="16"/>
      <c r="F615" s="209"/>
      <c r="G615" s="209"/>
      <c r="H615" s="209"/>
      <c r="I615" s="209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 spans="2:24">
      <c r="B616" s="16"/>
      <c r="C616" s="16"/>
      <c r="D616" s="16"/>
      <c r="E616" s="16"/>
      <c r="F616" s="209"/>
      <c r="G616" s="209"/>
      <c r="H616" s="209"/>
      <c r="I616" s="209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 spans="2:24">
      <c r="B617" s="16"/>
      <c r="C617" s="16"/>
      <c r="D617" s="16"/>
      <c r="E617" s="16"/>
      <c r="F617" s="209"/>
      <c r="G617" s="209"/>
      <c r="H617" s="209"/>
      <c r="I617" s="209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 spans="2:24">
      <c r="B618" s="16"/>
      <c r="C618" s="16"/>
      <c r="D618" s="16"/>
      <c r="E618" s="16"/>
      <c r="F618" s="209"/>
      <c r="G618" s="209"/>
      <c r="H618" s="209"/>
      <c r="I618" s="209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 spans="2:24">
      <c r="B619" s="16"/>
      <c r="C619" s="16"/>
      <c r="D619" s="16"/>
      <c r="E619" s="16"/>
      <c r="F619" s="209"/>
      <c r="G619" s="209"/>
      <c r="H619" s="209"/>
      <c r="I619" s="209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 spans="2:24">
      <c r="B620" s="16"/>
      <c r="C620" s="16"/>
      <c r="D620" s="16"/>
      <c r="E620" s="16"/>
      <c r="F620" s="209"/>
      <c r="G620" s="209"/>
      <c r="H620" s="209"/>
      <c r="I620" s="209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 spans="2:24">
      <c r="B621" s="16"/>
      <c r="C621" s="16"/>
      <c r="D621" s="16"/>
      <c r="E621" s="16"/>
      <c r="F621" s="209"/>
      <c r="G621" s="209"/>
      <c r="H621" s="209"/>
      <c r="I621" s="209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 spans="2:24">
      <c r="B622" s="16"/>
      <c r="C622" s="16"/>
      <c r="D622" s="16"/>
      <c r="E622" s="16"/>
      <c r="F622" s="209"/>
      <c r="G622" s="209"/>
      <c r="H622" s="209"/>
      <c r="I622" s="209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 spans="2:24">
      <c r="B623" s="16"/>
      <c r="C623" s="16"/>
      <c r="D623" s="16"/>
      <c r="E623" s="16"/>
      <c r="F623" s="209"/>
      <c r="G623" s="209"/>
      <c r="H623" s="209"/>
      <c r="I623" s="209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 spans="2:24">
      <c r="B624" s="16"/>
      <c r="C624" s="16"/>
      <c r="D624" s="16"/>
      <c r="E624" s="16"/>
      <c r="F624" s="209"/>
      <c r="G624" s="209"/>
      <c r="H624" s="209"/>
      <c r="I624" s="209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 spans="2:24">
      <c r="B625" s="16"/>
      <c r="C625" s="16"/>
      <c r="D625" s="16"/>
      <c r="E625" s="16"/>
      <c r="F625" s="209"/>
      <c r="G625" s="209"/>
      <c r="H625" s="209"/>
      <c r="I625" s="209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 spans="2:24">
      <c r="B626" s="16"/>
      <c r="C626" s="16"/>
      <c r="D626" s="16"/>
      <c r="E626" s="16"/>
      <c r="F626" s="209"/>
      <c r="G626" s="209"/>
      <c r="H626" s="209"/>
      <c r="I626" s="209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 spans="2:24">
      <c r="B627" s="16"/>
      <c r="C627" s="16"/>
      <c r="D627" s="16"/>
      <c r="E627" s="16"/>
      <c r="F627" s="209"/>
      <c r="G627" s="209"/>
      <c r="H627" s="209"/>
      <c r="I627" s="209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 spans="2:24">
      <c r="B628" s="16"/>
      <c r="C628" s="16"/>
      <c r="D628" s="16"/>
      <c r="E628" s="16"/>
      <c r="F628" s="209"/>
      <c r="G628" s="209"/>
      <c r="H628" s="209"/>
      <c r="I628" s="209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 spans="2:24">
      <c r="B629" s="16"/>
      <c r="C629" s="16"/>
      <c r="D629" s="16"/>
      <c r="E629" s="16"/>
      <c r="F629" s="209"/>
      <c r="G629" s="209"/>
      <c r="H629" s="209"/>
      <c r="I629" s="209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 spans="2:24">
      <c r="B630" s="16"/>
      <c r="C630" s="16"/>
      <c r="D630" s="16"/>
      <c r="E630" s="16"/>
      <c r="F630" s="209"/>
      <c r="G630" s="209"/>
      <c r="H630" s="209"/>
      <c r="I630" s="209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 spans="2:24">
      <c r="B631" s="16"/>
      <c r="C631" s="16"/>
      <c r="D631" s="16"/>
      <c r="E631" s="16"/>
      <c r="F631" s="209"/>
      <c r="G631" s="209"/>
      <c r="H631" s="209"/>
      <c r="I631" s="209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 spans="2:24">
      <c r="B632" s="16"/>
      <c r="C632" s="16"/>
      <c r="D632" s="16"/>
      <c r="E632" s="16"/>
      <c r="F632" s="209"/>
      <c r="G632" s="209"/>
      <c r="H632" s="209"/>
      <c r="I632" s="209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 spans="2:24">
      <c r="B633" s="16"/>
      <c r="C633" s="16"/>
      <c r="D633" s="16"/>
      <c r="E633" s="16"/>
      <c r="F633" s="209"/>
      <c r="G633" s="209"/>
      <c r="H633" s="209"/>
      <c r="I633" s="209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 spans="2:24">
      <c r="B634" s="16"/>
      <c r="C634" s="16"/>
      <c r="D634" s="16"/>
      <c r="E634" s="16"/>
      <c r="F634" s="209"/>
      <c r="G634" s="209"/>
      <c r="H634" s="209"/>
      <c r="I634" s="209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 spans="2:24">
      <c r="B635" s="16"/>
      <c r="C635" s="16"/>
      <c r="D635" s="16"/>
      <c r="E635" s="16"/>
      <c r="F635" s="209"/>
      <c r="G635" s="209"/>
      <c r="H635" s="209"/>
      <c r="I635" s="209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 spans="2:24">
      <c r="B636" s="16"/>
      <c r="C636" s="16"/>
      <c r="D636" s="16"/>
      <c r="E636" s="16"/>
      <c r="F636" s="209"/>
      <c r="G636" s="209"/>
      <c r="H636" s="209"/>
      <c r="I636" s="209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 spans="2:24">
      <c r="B637" s="16"/>
      <c r="C637" s="16"/>
      <c r="D637" s="16"/>
      <c r="E637" s="16"/>
      <c r="F637" s="209"/>
      <c r="G637" s="209"/>
      <c r="H637" s="209"/>
      <c r="I637" s="209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 spans="2:24">
      <c r="B638" s="16"/>
      <c r="C638" s="16"/>
      <c r="D638" s="16"/>
      <c r="E638" s="16"/>
      <c r="F638" s="209"/>
      <c r="G638" s="209"/>
      <c r="H638" s="209"/>
      <c r="I638" s="209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 spans="2:24">
      <c r="B639" s="16"/>
      <c r="C639" s="16"/>
      <c r="D639" s="16"/>
      <c r="E639" s="16"/>
      <c r="F639" s="209"/>
      <c r="G639" s="209"/>
      <c r="H639" s="209"/>
      <c r="I639" s="209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 spans="2:24">
      <c r="B640" s="16"/>
      <c r="C640" s="16"/>
      <c r="D640" s="16"/>
      <c r="E640" s="16"/>
      <c r="F640" s="209"/>
      <c r="G640" s="209"/>
      <c r="H640" s="209"/>
      <c r="I640" s="209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 spans="2:24">
      <c r="B641" s="16"/>
      <c r="C641" s="16"/>
      <c r="D641" s="16"/>
      <c r="E641" s="16"/>
      <c r="F641" s="209"/>
      <c r="G641" s="209"/>
      <c r="H641" s="209"/>
      <c r="I641" s="209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 spans="2:24">
      <c r="B642" s="16"/>
      <c r="C642" s="16"/>
      <c r="D642" s="16"/>
      <c r="E642" s="16"/>
      <c r="F642" s="209"/>
      <c r="G642" s="209"/>
      <c r="H642" s="209"/>
      <c r="I642" s="209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 spans="2:24">
      <c r="B643" s="16"/>
      <c r="C643" s="16"/>
      <c r="D643" s="16"/>
      <c r="E643" s="16"/>
      <c r="F643" s="209"/>
      <c r="G643" s="209"/>
      <c r="H643" s="209"/>
      <c r="I643" s="209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 spans="2:24">
      <c r="B644" s="16"/>
      <c r="C644" s="16"/>
      <c r="D644" s="16"/>
      <c r="E644" s="16"/>
      <c r="F644" s="209"/>
      <c r="G644" s="209"/>
      <c r="H644" s="209"/>
      <c r="I644" s="209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 spans="2:24">
      <c r="B645" s="16"/>
      <c r="C645" s="16"/>
      <c r="D645" s="16"/>
      <c r="E645" s="16"/>
      <c r="F645" s="209"/>
      <c r="G645" s="209"/>
      <c r="H645" s="209"/>
      <c r="I645" s="209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 spans="2:24">
      <c r="B646" s="16"/>
      <c r="C646" s="16"/>
      <c r="D646" s="16"/>
      <c r="E646" s="16"/>
      <c r="F646" s="209"/>
      <c r="G646" s="209"/>
      <c r="H646" s="209"/>
      <c r="I646" s="209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 spans="2:24">
      <c r="B647" s="16"/>
      <c r="C647" s="16"/>
      <c r="D647" s="16"/>
      <c r="E647" s="16"/>
      <c r="F647" s="209"/>
      <c r="G647" s="209"/>
      <c r="H647" s="209"/>
      <c r="I647" s="209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 spans="2:24">
      <c r="B648" s="16"/>
      <c r="C648" s="16"/>
      <c r="D648" s="16"/>
      <c r="E648" s="16"/>
      <c r="F648" s="209"/>
      <c r="G648" s="209"/>
      <c r="H648" s="209"/>
      <c r="I648" s="209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 spans="2:24">
      <c r="B649" s="16"/>
      <c r="C649" s="16"/>
      <c r="D649" s="16"/>
      <c r="E649" s="16"/>
      <c r="F649" s="209"/>
      <c r="G649" s="209"/>
      <c r="H649" s="209"/>
      <c r="I649" s="209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 spans="2:24">
      <c r="B650" s="16"/>
      <c r="C650" s="16"/>
      <c r="D650" s="16"/>
      <c r="E650" s="16"/>
      <c r="F650" s="209"/>
      <c r="G650" s="209"/>
      <c r="H650" s="209"/>
      <c r="I650" s="209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 spans="2:24">
      <c r="B651" s="16"/>
      <c r="C651" s="16"/>
      <c r="D651" s="16"/>
      <c r="E651" s="16"/>
      <c r="F651" s="209"/>
      <c r="G651" s="209"/>
      <c r="H651" s="209"/>
      <c r="I651" s="209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 spans="2:24">
      <c r="B652" s="16"/>
      <c r="C652" s="16"/>
      <c r="D652" s="16"/>
      <c r="E652" s="16"/>
      <c r="F652" s="209"/>
      <c r="G652" s="209"/>
      <c r="H652" s="209"/>
      <c r="I652" s="209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 spans="2:24">
      <c r="B653" s="16"/>
      <c r="C653" s="16"/>
      <c r="D653" s="16"/>
      <c r="E653" s="16"/>
      <c r="F653" s="209"/>
      <c r="G653" s="209"/>
      <c r="H653" s="209"/>
      <c r="I653" s="209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 spans="2:24">
      <c r="B654" s="16"/>
      <c r="C654" s="16"/>
      <c r="D654" s="16"/>
      <c r="E654" s="16"/>
      <c r="F654" s="209"/>
      <c r="G654" s="209"/>
      <c r="H654" s="209"/>
      <c r="I654" s="209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 spans="2:24">
      <c r="B655" s="16"/>
      <c r="C655" s="16"/>
      <c r="D655" s="16"/>
      <c r="E655" s="16"/>
      <c r="F655" s="209"/>
      <c r="G655" s="209"/>
      <c r="H655" s="209"/>
      <c r="I655" s="209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 spans="2:24">
      <c r="B656" s="16"/>
      <c r="C656" s="16"/>
      <c r="D656" s="16"/>
      <c r="E656" s="16"/>
      <c r="F656" s="209"/>
      <c r="G656" s="209"/>
      <c r="H656" s="209"/>
      <c r="I656" s="209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 spans="2:24">
      <c r="B657" s="16"/>
      <c r="C657" s="16"/>
      <c r="D657" s="16"/>
      <c r="E657" s="16"/>
      <c r="F657" s="209"/>
      <c r="G657" s="209"/>
      <c r="H657" s="209"/>
      <c r="I657" s="209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 spans="2:24">
      <c r="B658" s="16"/>
      <c r="C658" s="16"/>
      <c r="D658" s="16"/>
      <c r="E658" s="16"/>
      <c r="F658" s="209"/>
      <c r="G658" s="209"/>
      <c r="H658" s="209"/>
      <c r="I658" s="209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 spans="2:24">
      <c r="B659" s="16"/>
      <c r="C659" s="16"/>
      <c r="D659" s="16"/>
      <c r="E659" s="16"/>
      <c r="F659" s="209"/>
      <c r="G659" s="209"/>
      <c r="H659" s="209"/>
      <c r="I659" s="209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 spans="2:24">
      <c r="B660" s="16"/>
      <c r="C660" s="16"/>
      <c r="D660" s="16"/>
      <c r="E660" s="16"/>
      <c r="F660" s="209"/>
      <c r="G660" s="209"/>
      <c r="H660" s="209"/>
      <c r="I660" s="209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 spans="2:24">
      <c r="B661" s="16"/>
      <c r="C661" s="16"/>
      <c r="D661" s="16"/>
      <c r="E661" s="16"/>
      <c r="F661" s="209"/>
      <c r="G661" s="209"/>
      <c r="H661" s="209"/>
      <c r="I661" s="209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 spans="2:24">
      <c r="B662" s="16"/>
      <c r="C662" s="16"/>
      <c r="D662" s="16"/>
      <c r="E662" s="16"/>
      <c r="F662" s="209"/>
      <c r="G662" s="209"/>
      <c r="H662" s="209"/>
      <c r="I662" s="209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 spans="2:24">
      <c r="B663" s="16"/>
      <c r="C663" s="16"/>
      <c r="D663" s="16"/>
      <c r="E663" s="16"/>
      <c r="F663" s="209"/>
      <c r="G663" s="209"/>
      <c r="H663" s="209"/>
      <c r="I663" s="209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 spans="2:24">
      <c r="B664" s="16"/>
      <c r="C664" s="16"/>
      <c r="D664" s="16"/>
      <c r="E664" s="16"/>
      <c r="F664" s="209"/>
      <c r="G664" s="209"/>
      <c r="H664" s="209"/>
      <c r="I664" s="209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 spans="2:24">
      <c r="B665" s="16"/>
      <c r="C665" s="16"/>
      <c r="D665" s="16"/>
      <c r="E665" s="16"/>
      <c r="F665" s="209"/>
      <c r="G665" s="209"/>
      <c r="H665" s="209"/>
      <c r="I665" s="209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 spans="2:24">
      <c r="B666" s="16"/>
      <c r="C666" s="16"/>
      <c r="D666" s="16"/>
      <c r="E666" s="16"/>
      <c r="F666" s="209"/>
      <c r="G666" s="209"/>
      <c r="H666" s="209"/>
      <c r="I666" s="209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 spans="2:24">
      <c r="B667" s="16"/>
      <c r="C667" s="16"/>
      <c r="D667" s="16"/>
      <c r="E667" s="16"/>
      <c r="F667" s="209"/>
      <c r="G667" s="209"/>
      <c r="H667" s="209"/>
      <c r="I667" s="209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 spans="2:24">
      <c r="B668" s="16"/>
      <c r="C668" s="16"/>
      <c r="D668" s="16"/>
      <c r="E668" s="16"/>
      <c r="F668" s="209"/>
      <c r="G668" s="209"/>
      <c r="H668" s="209"/>
      <c r="I668" s="209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 spans="2:24">
      <c r="B669" s="16"/>
      <c r="C669" s="16"/>
      <c r="D669" s="16"/>
      <c r="E669" s="16"/>
      <c r="F669" s="209"/>
      <c r="G669" s="209"/>
      <c r="H669" s="209"/>
      <c r="I669" s="209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 spans="2:24">
      <c r="B670" s="16"/>
      <c r="C670" s="16"/>
      <c r="D670" s="16"/>
      <c r="E670" s="16"/>
      <c r="F670" s="209"/>
      <c r="G670" s="209"/>
      <c r="H670" s="209"/>
      <c r="I670" s="209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 spans="2:24">
      <c r="B671" s="16"/>
      <c r="C671" s="16"/>
      <c r="D671" s="16"/>
      <c r="E671" s="16"/>
      <c r="F671" s="209"/>
      <c r="G671" s="209"/>
      <c r="H671" s="209"/>
      <c r="I671" s="209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 spans="2:24">
      <c r="B672" s="16"/>
      <c r="C672" s="16"/>
      <c r="D672" s="16"/>
      <c r="E672" s="16"/>
      <c r="F672" s="209"/>
      <c r="G672" s="209"/>
      <c r="H672" s="209"/>
      <c r="I672" s="209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 spans="2:24">
      <c r="B673" s="16"/>
      <c r="C673" s="16"/>
      <c r="D673" s="16"/>
      <c r="E673" s="16"/>
      <c r="F673" s="209"/>
      <c r="G673" s="209"/>
      <c r="H673" s="209"/>
      <c r="I673" s="209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 spans="2:24">
      <c r="B674" s="16"/>
      <c r="C674" s="16"/>
      <c r="D674" s="16"/>
      <c r="E674" s="16"/>
      <c r="F674" s="209"/>
      <c r="G674" s="209"/>
      <c r="H674" s="209"/>
      <c r="I674" s="209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 spans="2:24">
      <c r="B675" s="16"/>
      <c r="C675" s="16"/>
      <c r="D675" s="16"/>
      <c r="E675" s="16"/>
      <c r="F675" s="209"/>
      <c r="G675" s="209"/>
      <c r="H675" s="209"/>
      <c r="I675" s="209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 spans="2:24">
      <c r="B676" s="16"/>
      <c r="C676" s="16"/>
      <c r="D676" s="16"/>
      <c r="E676" s="16"/>
      <c r="F676" s="209"/>
      <c r="G676" s="209"/>
      <c r="H676" s="209"/>
      <c r="I676" s="209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 spans="2:24">
      <c r="B677" s="16"/>
      <c r="C677" s="16"/>
      <c r="D677" s="16"/>
      <c r="E677" s="16"/>
      <c r="F677" s="209"/>
      <c r="G677" s="209"/>
      <c r="H677" s="209"/>
      <c r="I677" s="209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 spans="2:24">
      <c r="B678" s="16"/>
      <c r="C678" s="16"/>
      <c r="D678" s="16"/>
      <c r="E678" s="16"/>
      <c r="F678" s="209"/>
      <c r="G678" s="209"/>
      <c r="H678" s="209"/>
      <c r="I678" s="209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 spans="2:24">
      <c r="B679" s="16"/>
      <c r="C679" s="16"/>
      <c r="D679" s="16"/>
      <c r="E679" s="16"/>
      <c r="F679" s="209"/>
      <c r="G679" s="209"/>
      <c r="H679" s="209"/>
      <c r="I679" s="209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 spans="2:24">
      <c r="B680" s="16"/>
      <c r="C680" s="16"/>
      <c r="D680" s="16"/>
      <c r="E680" s="16"/>
      <c r="F680" s="209"/>
      <c r="G680" s="209"/>
      <c r="H680" s="209"/>
      <c r="I680" s="209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 spans="2:24">
      <c r="B681" s="16"/>
      <c r="C681" s="16"/>
      <c r="D681" s="16"/>
      <c r="E681" s="16"/>
      <c r="F681" s="209"/>
      <c r="G681" s="209"/>
      <c r="H681" s="209"/>
      <c r="I681" s="209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 spans="2:24">
      <c r="B682" s="16"/>
      <c r="C682" s="16"/>
      <c r="D682" s="16"/>
      <c r="E682" s="16"/>
      <c r="F682" s="209"/>
      <c r="G682" s="209"/>
      <c r="H682" s="209"/>
      <c r="I682" s="209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 spans="2:24">
      <c r="B683" s="16"/>
      <c r="C683" s="16"/>
      <c r="D683" s="16"/>
      <c r="E683" s="16"/>
      <c r="F683" s="209"/>
      <c r="G683" s="209"/>
      <c r="H683" s="209"/>
      <c r="I683" s="209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 spans="2:24">
      <c r="B684" s="16"/>
      <c r="C684" s="16"/>
      <c r="D684" s="16"/>
      <c r="E684" s="16"/>
      <c r="F684" s="209"/>
      <c r="G684" s="209"/>
      <c r="H684" s="209"/>
      <c r="I684" s="209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 spans="2:24">
      <c r="B685" s="16"/>
      <c r="C685" s="16"/>
      <c r="D685" s="16"/>
      <c r="E685" s="16"/>
      <c r="F685" s="209"/>
      <c r="G685" s="209"/>
      <c r="H685" s="209"/>
      <c r="I685" s="209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 spans="2:24">
      <c r="B686" s="16"/>
      <c r="C686" s="16"/>
      <c r="D686" s="16"/>
      <c r="E686" s="16"/>
      <c r="F686" s="209"/>
      <c r="G686" s="209"/>
      <c r="H686" s="209"/>
      <c r="I686" s="209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 spans="2:24">
      <c r="B687" s="16"/>
      <c r="C687" s="16"/>
      <c r="D687" s="16"/>
      <c r="E687" s="16"/>
      <c r="F687" s="209"/>
      <c r="G687" s="209"/>
      <c r="H687" s="209"/>
      <c r="I687" s="209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 spans="2:24">
      <c r="B688" s="16"/>
      <c r="C688" s="16"/>
      <c r="D688" s="16"/>
      <c r="E688" s="16"/>
      <c r="F688" s="209"/>
      <c r="G688" s="209"/>
      <c r="H688" s="209"/>
      <c r="I688" s="209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 spans="2:24">
      <c r="B689" s="16"/>
      <c r="C689" s="16"/>
      <c r="D689" s="16"/>
      <c r="E689" s="16"/>
      <c r="F689" s="209"/>
      <c r="G689" s="209"/>
      <c r="H689" s="209"/>
      <c r="I689" s="209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 spans="2:24">
      <c r="B690" s="16"/>
      <c r="C690" s="16"/>
      <c r="D690" s="16"/>
      <c r="E690" s="16"/>
      <c r="F690" s="209"/>
      <c r="G690" s="209"/>
      <c r="H690" s="209"/>
      <c r="I690" s="209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 spans="2:24">
      <c r="B691" s="16"/>
      <c r="C691" s="16"/>
      <c r="D691" s="16"/>
      <c r="E691" s="16"/>
      <c r="F691" s="209"/>
      <c r="G691" s="209"/>
      <c r="H691" s="209"/>
      <c r="I691" s="209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 spans="2:24">
      <c r="B692" s="16"/>
      <c r="C692" s="16"/>
      <c r="D692" s="16"/>
      <c r="E692" s="16"/>
      <c r="F692" s="209"/>
      <c r="G692" s="209"/>
      <c r="H692" s="209"/>
      <c r="I692" s="209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 spans="2:24">
      <c r="B693" s="16"/>
      <c r="C693" s="16"/>
      <c r="D693" s="16"/>
      <c r="E693" s="16"/>
      <c r="F693" s="209"/>
      <c r="G693" s="209"/>
      <c r="H693" s="209"/>
      <c r="I693" s="209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 spans="2:24">
      <c r="B694" s="16"/>
      <c r="C694" s="16"/>
      <c r="D694" s="16"/>
      <c r="E694" s="16"/>
      <c r="F694" s="209"/>
      <c r="G694" s="209"/>
      <c r="H694" s="209"/>
      <c r="I694" s="209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 spans="2:24">
      <c r="B695" s="16"/>
      <c r="C695" s="16"/>
      <c r="D695" s="16"/>
      <c r="E695" s="16"/>
      <c r="F695" s="209"/>
      <c r="G695" s="209"/>
      <c r="H695" s="209"/>
      <c r="I695" s="209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 spans="2:24">
      <c r="B696" s="16"/>
      <c r="C696" s="16"/>
      <c r="D696" s="16"/>
      <c r="E696" s="16"/>
      <c r="F696" s="209"/>
      <c r="G696" s="209"/>
      <c r="H696" s="209"/>
      <c r="I696" s="209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 spans="2:24">
      <c r="B697" s="16"/>
      <c r="C697" s="16"/>
      <c r="D697" s="16"/>
      <c r="E697" s="16"/>
      <c r="F697" s="209"/>
      <c r="G697" s="209"/>
      <c r="H697" s="209"/>
      <c r="I697" s="209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 spans="2:24">
      <c r="B698" s="16"/>
      <c r="C698" s="16"/>
      <c r="D698" s="16"/>
      <c r="E698" s="16"/>
      <c r="F698" s="209"/>
      <c r="G698" s="209"/>
      <c r="H698" s="209"/>
      <c r="I698" s="209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 spans="2:24">
      <c r="B699" s="16"/>
      <c r="C699" s="16"/>
      <c r="D699" s="16"/>
      <c r="E699" s="16"/>
      <c r="F699" s="209"/>
      <c r="G699" s="209"/>
      <c r="H699" s="209"/>
      <c r="I699" s="209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 spans="2:24">
      <c r="B700" s="16"/>
      <c r="C700" s="16"/>
      <c r="D700" s="16"/>
      <c r="E700" s="16"/>
      <c r="F700" s="209"/>
      <c r="G700" s="209"/>
      <c r="H700" s="209"/>
      <c r="I700" s="209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 spans="2:24">
      <c r="B701" s="16"/>
      <c r="C701" s="16"/>
      <c r="D701" s="16"/>
      <c r="E701" s="16"/>
      <c r="F701" s="209"/>
      <c r="G701" s="209"/>
      <c r="H701" s="209"/>
      <c r="I701" s="209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 spans="2:24">
      <c r="B702" s="16"/>
      <c r="C702" s="16"/>
      <c r="D702" s="16"/>
      <c r="E702" s="16"/>
      <c r="F702" s="209"/>
      <c r="G702" s="209"/>
      <c r="H702" s="209"/>
      <c r="I702" s="209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 spans="2:24">
      <c r="B703" s="16"/>
      <c r="C703" s="16"/>
      <c r="D703" s="16"/>
      <c r="E703" s="16"/>
      <c r="F703" s="209"/>
      <c r="G703" s="209"/>
      <c r="H703" s="209"/>
      <c r="I703" s="209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 spans="2:24">
      <c r="B704" s="16"/>
      <c r="C704" s="16"/>
      <c r="D704" s="16"/>
      <c r="E704" s="16"/>
      <c r="F704" s="209"/>
      <c r="G704" s="209"/>
      <c r="H704" s="209"/>
      <c r="I704" s="209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 spans="2:24">
      <c r="B705" s="16"/>
      <c r="C705" s="16"/>
      <c r="D705" s="16"/>
      <c r="E705" s="16"/>
      <c r="F705" s="209"/>
      <c r="G705" s="209"/>
      <c r="H705" s="209"/>
      <c r="I705" s="209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 spans="2:24">
      <c r="B706" s="16"/>
      <c r="C706" s="16"/>
      <c r="D706" s="16"/>
      <c r="E706" s="16"/>
      <c r="F706" s="209"/>
      <c r="G706" s="209"/>
      <c r="H706" s="209"/>
      <c r="I706" s="209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 spans="2:24">
      <c r="B707" s="16"/>
      <c r="C707" s="16"/>
      <c r="D707" s="16"/>
      <c r="E707" s="16"/>
      <c r="F707" s="209"/>
      <c r="G707" s="209"/>
      <c r="H707" s="209"/>
      <c r="I707" s="209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 spans="2:24">
      <c r="B708" s="16"/>
      <c r="C708" s="16"/>
      <c r="D708" s="16"/>
      <c r="E708" s="16"/>
      <c r="F708" s="209"/>
      <c r="G708" s="209"/>
      <c r="H708" s="209"/>
      <c r="I708" s="209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 spans="2:24">
      <c r="B709" s="16"/>
      <c r="C709" s="16"/>
      <c r="D709" s="16"/>
      <c r="E709" s="16"/>
      <c r="F709" s="209"/>
      <c r="G709" s="209"/>
      <c r="H709" s="209"/>
      <c r="I709" s="209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 spans="2:24">
      <c r="B710" s="16"/>
      <c r="C710" s="16"/>
      <c r="D710" s="16"/>
      <c r="E710" s="16"/>
      <c r="F710" s="209"/>
      <c r="G710" s="209"/>
      <c r="H710" s="209"/>
      <c r="I710" s="209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 spans="2:24">
      <c r="B711" s="16"/>
      <c r="C711" s="16"/>
      <c r="D711" s="16"/>
      <c r="E711" s="16"/>
      <c r="F711" s="209"/>
      <c r="G711" s="209"/>
      <c r="H711" s="209"/>
      <c r="I711" s="209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 spans="2:24">
      <c r="B712" s="16"/>
      <c r="C712" s="16"/>
      <c r="D712" s="16"/>
      <c r="E712" s="16"/>
      <c r="F712" s="209"/>
      <c r="G712" s="209"/>
      <c r="H712" s="209"/>
      <c r="I712" s="209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 spans="2:24">
      <c r="B713" s="16"/>
      <c r="C713" s="16"/>
      <c r="D713" s="16"/>
      <c r="E713" s="16"/>
      <c r="F713" s="209"/>
      <c r="G713" s="209"/>
      <c r="H713" s="209"/>
      <c r="I713" s="209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 spans="2:24">
      <c r="B714" s="16"/>
      <c r="C714" s="16"/>
      <c r="D714" s="16"/>
      <c r="E714" s="16"/>
      <c r="F714" s="209"/>
      <c r="G714" s="209"/>
      <c r="H714" s="209"/>
      <c r="I714" s="209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 spans="2:24">
      <c r="B715" s="16"/>
      <c r="C715" s="16"/>
      <c r="D715" s="16"/>
      <c r="E715" s="16"/>
      <c r="F715" s="209"/>
      <c r="G715" s="209"/>
      <c r="H715" s="209"/>
      <c r="I715" s="209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 spans="2:24">
      <c r="B716" s="16"/>
      <c r="C716" s="16"/>
      <c r="D716" s="16"/>
      <c r="E716" s="16"/>
      <c r="F716" s="209"/>
      <c r="G716" s="209"/>
      <c r="H716" s="209"/>
      <c r="I716" s="209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 spans="2:24">
      <c r="B717" s="16"/>
      <c r="C717" s="16"/>
      <c r="D717" s="16"/>
      <c r="E717" s="16"/>
      <c r="F717" s="209"/>
      <c r="G717" s="209"/>
      <c r="H717" s="209"/>
      <c r="I717" s="209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 spans="2:24">
      <c r="B718" s="16"/>
      <c r="C718" s="16"/>
      <c r="D718" s="16"/>
      <c r="E718" s="16"/>
      <c r="F718" s="209"/>
      <c r="G718" s="209"/>
      <c r="H718" s="209"/>
      <c r="I718" s="209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 spans="2:24">
      <c r="B719" s="16"/>
      <c r="C719" s="16"/>
      <c r="D719" s="16"/>
      <c r="E719" s="16"/>
      <c r="F719" s="209"/>
      <c r="G719" s="209"/>
      <c r="H719" s="209"/>
      <c r="I719" s="209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 spans="2:24">
      <c r="B720" s="16"/>
      <c r="C720" s="16"/>
      <c r="D720" s="16"/>
      <c r="E720" s="16"/>
      <c r="F720" s="209"/>
      <c r="G720" s="209"/>
      <c r="H720" s="209"/>
      <c r="I720" s="209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 spans="2:24">
      <c r="B721" s="16"/>
      <c r="C721" s="16"/>
      <c r="D721" s="16"/>
      <c r="E721" s="16"/>
      <c r="F721" s="209"/>
      <c r="G721" s="209"/>
      <c r="H721" s="209"/>
      <c r="I721" s="209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 spans="2:24">
      <c r="B722" s="16"/>
      <c r="C722" s="16"/>
      <c r="D722" s="16"/>
      <c r="E722" s="16"/>
      <c r="F722" s="209"/>
      <c r="G722" s="209"/>
      <c r="H722" s="209"/>
      <c r="I722" s="209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 spans="2:24">
      <c r="B723" s="16"/>
      <c r="C723" s="16"/>
      <c r="D723" s="16"/>
      <c r="E723" s="16"/>
      <c r="F723" s="209"/>
      <c r="G723" s="209"/>
      <c r="H723" s="209"/>
      <c r="I723" s="209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 spans="2:24">
      <c r="B724" s="16"/>
      <c r="C724" s="16"/>
      <c r="D724" s="16"/>
      <c r="E724" s="16"/>
      <c r="F724" s="209"/>
      <c r="G724" s="209"/>
      <c r="H724" s="209"/>
      <c r="I724" s="209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 spans="2:24">
      <c r="B725" s="16"/>
      <c r="C725" s="16"/>
      <c r="D725" s="16"/>
      <c r="E725" s="16"/>
      <c r="F725" s="209"/>
      <c r="G725" s="209"/>
      <c r="H725" s="209"/>
      <c r="I725" s="209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 spans="2:24">
      <c r="B726" s="16"/>
      <c r="C726" s="16"/>
      <c r="D726" s="16"/>
      <c r="E726" s="16"/>
      <c r="F726" s="209"/>
      <c r="G726" s="209"/>
      <c r="H726" s="209"/>
      <c r="I726" s="209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 spans="2:24">
      <c r="B727" s="16"/>
      <c r="C727" s="16"/>
      <c r="D727" s="16"/>
      <c r="E727" s="16"/>
      <c r="F727" s="209"/>
      <c r="G727" s="209"/>
      <c r="H727" s="209"/>
      <c r="I727" s="209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 spans="2:24">
      <c r="B728" s="16"/>
      <c r="C728" s="16"/>
      <c r="D728" s="16"/>
      <c r="E728" s="16"/>
      <c r="F728" s="209"/>
      <c r="G728" s="209"/>
      <c r="H728" s="209"/>
      <c r="I728" s="209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 spans="2:24">
      <c r="B729" s="16"/>
      <c r="C729" s="16"/>
      <c r="D729" s="16"/>
      <c r="E729" s="16"/>
      <c r="F729" s="209"/>
      <c r="G729" s="209"/>
      <c r="H729" s="209"/>
      <c r="I729" s="209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 spans="2:24">
      <c r="B730" s="16"/>
      <c r="C730" s="16"/>
      <c r="D730" s="16"/>
      <c r="E730" s="16"/>
      <c r="F730" s="209"/>
      <c r="G730" s="209"/>
      <c r="H730" s="209"/>
      <c r="I730" s="209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 spans="2:24">
      <c r="B731" s="16"/>
      <c r="C731" s="16"/>
      <c r="D731" s="16"/>
      <c r="E731" s="16"/>
      <c r="F731" s="209"/>
      <c r="G731" s="209"/>
      <c r="H731" s="209"/>
      <c r="I731" s="209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 spans="2:24">
      <c r="B732" s="16"/>
      <c r="C732" s="16"/>
      <c r="D732" s="16"/>
      <c r="E732" s="16"/>
      <c r="F732" s="209"/>
      <c r="G732" s="209"/>
      <c r="H732" s="209"/>
      <c r="I732" s="209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 spans="2:24">
      <c r="B733" s="16"/>
      <c r="C733" s="16"/>
      <c r="D733" s="16"/>
      <c r="E733" s="16"/>
      <c r="F733" s="209"/>
      <c r="G733" s="209"/>
      <c r="H733" s="209"/>
      <c r="I733" s="209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 spans="2:24">
      <c r="B734" s="16"/>
      <c r="C734" s="16"/>
      <c r="D734" s="16"/>
      <c r="E734" s="16"/>
      <c r="F734" s="209"/>
      <c r="G734" s="209"/>
      <c r="H734" s="209"/>
      <c r="I734" s="209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 spans="2:24">
      <c r="B735" s="16"/>
      <c r="C735" s="16"/>
      <c r="D735" s="16"/>
      <c r="E735" s="16"/>
      <c r="F735" s="209"/>
      <c r="G735" s="209"/>
      <c r="H735" s="209"/>
      <c r="I735" s="209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 spans="2:24">
      <c r="B736" s="16"/>
      <c r="C736" s="16"/>
      <c r="D736" s="16"/>
      <c r="E736" s="16"/>
      <c r="F736" s="209"/>
      <c r="G736" s="209"/>
      <c r="H736" s="209"/>
      <c r="I736" s="209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 spans="2:24">
      <c r="B737" s="16"/>
      <c r="C737" s="16"/>
      <c r="D737" s="16"/>
      <c r="E737" s="16"/>
      <c r="F737" s="209"/>
      <c r="G737" s="209"/>
      <c r="H737" s="209"/>
      <c r="I737" s="209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 spans="2:24">
      <c r="B738" s="16"/>
      <c r="C738" s="16"/>
      <c r="D738" s="16"/>
      <c r="E738" s="16"/>
      <c r="F738" s="209"/>
      <c r="G738" s="209"/>
      <c r="H738" s="209"/>
      <c r="I738" s="209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 spans="2:24">
      <c r="B739" s="16"/>
      <c r="C739" s="16"/>
      <c r="D739" s="16"/>
      <c r="E739" s="16"/>
      <c r="F739" s="209"/>
      <c r="G739" s="209"/>
      <c r="H739" s="209"/>
      <c r="I739" s="209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 spans="2:24">
      <c r="B740" s="16"/>
      <c r="C740" s="16"/>
      <c r="D740" s="16"/>
      <c r="E740" s="16"/>
      <c r="F740" s="209"/>
      <c r="G740" s="209"/>
      <c r="H740" s="209"/>
      <c r="I740" s="209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 spans="2:24">
      <c r="B741" s="16"/>
      <c r="C741" s="16"/>
      <c r="D741" s="16"/>
      <c r="E741" s="16"/>
      <c r="F741" s="209"/>
      <c r="G741" s="209"/>
      <c r="H741" s="209"/>
      <c r="I741" s="209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 spans="2:24">
      <c r="B742" s="16"/>
      <c r="C742" s="16"/>
      <c r="D742" s="16"/>
      <c r="E742" s="16"/>
      <c r="F742" s="209"/>
      <c r="G742" s="209"/>
      <c r="H742" s="209"/>
      <c r="I742" s="209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 spans="2:24">
      <c r="B743" s="16"/>
      <c r="C743" s="16"/>
      <c r="D743" s="16"/>
      <c r="E743" s="16"/>
      <c r="F743" s="209"/>
      <c r="G743" s="209"/>
      <c r="H743" s="209"/>
      <c r="I743" s="209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 spans="2:24">
      <c r="B744" s="16"/>
      <c r="C744" s="16"/>
      <c r="D744" s="16"/>
      <c r="E744" s="16"/>
      <c r="F744" s="209"/>
      <c r="G744" s="209"/>
      <c r="H744" s="209"/>
      <c r="I744" s="209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 spans="2:24">
      <c r="B745" s="16"/>
      <c r="C745" s="16"/>
      <c r="D745" s="16"/>
      <c r="E745" s="16"/>
      <c r="F745" s="209"/>
      <c r="G745" s="209"/>
      <c r="H745" s="209"/>
      <c r="I745" s="209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 spans="2:24">
      <c r="B746" s="16"/>
      <c r="C746" s="16"/>
      <c r="D746" s="16"/>
      <c r="E746" s="16"/>
      <c r="F746" s="209"/>
      <c r="G746" s="209"/>
      <c r="H746" s="209"/>
      <c r="I746" s="209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 spans="2:24">
      <c r="B747" s="16"/>
      <c r="C747" s="16"/>
      <c r="D747" s="16"/>
      <c r="E747" s="16"/>
      <c r="F747" s="209"/>
      <c r="G747" s="209"/>
      <c r="H747" s="209"/>
      <c r="I747" s="209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 spans="2:24">
      <c r="B748" s="16"/>
      <c r="C748" s="16"/>
      <c r="D748" s="16"/>
      <c r="E748" s="16"/>
      <c r="F748" s="209"/>
      <c r="G748" s="209"/>
      <c r="H748" s="209"/>
      <c r="I748" s="209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 spans="2:24">
      <c r="B749" s="16"/>
      <c r="C749" s="16"/>
      <c r="D749" s="16"/>
      <c r="E749" s="16"/>
      <c r="F749" s="209"/>
      <c r="G749" s="209"/>
      <c r="H749" s="209"/>
      <c r="I749" s="209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 spans="2:24">
      <c r="B750" s="16"/>
      <c r="C750" s="16"/>
      <c r="D750" s="16"/>
      <c r="E750" s="16"/>
      <c r="F750" s="209"/>
      <c r="G750" s="209"/>
      <c r="H750" s="209"/>
      <c r="I750" s="209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 spans="2:24">
      <c r="B751" s="16"/>
      <c r="C751" s="16"/>
      <c r="D751" s="16"/>
      <c r="E751" s="16"/>
      <c r="F751" s="209"/>
      <c r="G751" s="209"/>
      <c r="H751" s="209"/>
      <c r="I751" s="209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 spans="2:24">
      <c r="B752" s="16"/>
      <c r="C752" s="16"/>
      <c r="D752" s="16"/>
      <c r="E752" s="16"/>
      <c r="F752" s="209"/>
      <c r="G752" s="209"/>
      <c r="H752" s="209"/>
      <c r="I752" s="209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 spans="2:24">
      <c r="B753" s="16"/>
      <c r="C753" s="16"/>
      <c r="D753" s="16"/>
      <c r="E753" s="16"/>
      <c r="F753" s="209"/>
      <c r="G753" s="209"/>
      <c r="H753" s="209"/>
      <c r="I753" s="209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 spans="2:24">
      <c r="B754" s="16"/>
      <c r="C754" s="16"/>
      <c r="D754" s="16"/>
      <c r="E754" s="16"/>
      <c r="F754" s="209"/>
      <c r="G754" s="209"/>
      <c r="H754" s="209"/>
      <c r="I754" s="209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 spans="2:24">
      <c r="B755" s="16"/>
      <c r="C755" s="16"/>
      <c r="D755" s="16"/>
      <c r="E755" s="16"/>
      <c r="F755" s="209"/>
      <c r="G755" s="209"/>
      <c r="H755" s="209"/>
      <c r="I755" s="209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 spans="2:24">
      <c r="B756" s="16"/>
      <c r="C756" s="16"/>
      <c r="D756" s="16"/>
      <c r="E756" s="16"/>
      <c r="F756" s="209"/>
      <c r="G756" s="209"/>
      <c r="H756" s="209"/>
      <c r="I756" s="209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 spans="2:24">
      <c r="B757" s="16"/>
      <c r="C757" s="16"/>
      <c r="D757" s="16"/>
      <c r="E757" s="16"/>
      <c r="F757" s="209"/>
      <c r="G757" s="209"/>
      <c r="H757" s="209"/>
      <c r="I757" s="209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 spans="2:24">
      <c r="B758" s="16"/>
      <c r="C758" s="16"/>
      <c r="D758" s="16"/>
      <c r="E758" s="16"/>
      <c r="F758" s="209"/>
      <c r="G758" s="209"/>
      <c r="H758" s="209"/>
      <c r="I758" s="209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 spans="2:24">
      <c r="B759" s="16"/>
      <c r="C759" s="16"/>
      <c r="D759" s="16"/>
      <c r="E759" s="16"/>
      <c r="F759" s="209"/>
      <c r="G759" s="209"/>
      <c r="H759" s="209"/>
      <c r="I759" s="209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 spans="2:24">
      <c r="B760" s="16"/>
      <c r="C760" s="16"/>
      <c r="D760" s="16"/>
      <c r="E760" s="16"/>
      <c r="F760" s="209"/>
      <c r="G760" s="209"/>
      <c r="H760" s="209"/>
      <c r="I760" s="209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 spans="2:24">
      <c r="B761" s="16"/>
      <c r="C761" s="16"/>
      <c r="D761" s="16"/>
      <c r="E761" s="16"/>
      <c r="F761" s="209"/>
      <c r="G761" s="209"/>
      <c r="H761" s="209"/>
      <c r="I761" s="209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 spans="2:24">
      <c r="B762" s="16"/>
      <c r="C762" s="16"/>
      <c r="D762" s="16"/>
      <c r="E762" s="16"/>
      <c r="F762" s="209"/>
      <c r="G762" s="209"/>
      <c r="H762" s="209"/>
      <c r="I762" s="209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 spans="2:24">
      <c r="B763" s="16"/>
      <c r="C763" s="16"/>
      <c r="D763" s="16"/>
      <c r="E763" s="16"/>
      <c r="F763" s="209"/>
      <c r="G763" s="209"/>
      <c r="H763" s="209"/>
      <c r="I763" s="209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 spans="2:24">
      <c r="B764" s="16"/>
      <c r="C764" s="16"/>
      <c r="D764" s="16"/>
      <c r="E764" s="16"/>
      <c r="F764" s="209"/>
      <c r="G764" s="209"/>
      <c r="H764" s="209"/>
      <c r="I764" s="209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 spans="2:24">
      <c r="B765" s="16"/>
      <c r="C765" s="16"/>
      <c r="D765" s="16"/>
      <c r="E765" s="16"/>
      <c r="F765" s="209"/>
      <c r="G765" s="209"/>
      <c r="H765" s="209"/>
      <c r="I765" s="209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 spans="2:24">
      <c r="B766" s="16"/>
      <c r="C766" s="16"/>
      <c r="D766" s="16"/>
      <c r="E766" s="16"/>
      <c r="F766" s="209"/>
      <c r="G766" s="209"/>
      <c r="H766" s="209"/>
      <c r="I766" s="209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 spans="2:24">
      <c r="B767" s="16"/>
      <c r="C767" s="16"/>
      <c r="D767" s="16"/>
      <c r="E767" s="16"/>
      <c r="F767" s="209"/>
      <c r="G767" s="209"/>
      <c r="H767" s="209"/>
      <c r="I767" s="209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 spans="2:24">
      <c r="B768" s="16"/>
      <c r="C768" s="16"/>
      <c r="D768" s="16"/>
      <c r="E768" s="16"/>
      <c r="F768" s="209"/>
      <c r="G768" s="209"/>
      <c r="H768" s="209"/>
      <c r="I768" s="209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 spans="2:24">
      <c r="B769" s="16"/>
      <c r="C769" s="16"/>
      <c r="D769" s="16"/>
      <c r="E769" s="16"/>
      <c r="F769" s="209"/>
      <c r="G769" s="209"/>
      <c r="H769" s="209"/>
      <c r="I769" s="209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 spans="2:24">
      <c r="B770" s="16"/>
      <c r="C770" s="16"/>
      <c r="D770" s="16"/>
      <c r="E770" s="16"/>
      <c r="F770" s="209"/>
      <c r="G770" s="209"/>
      <c r="H770" s="209"/>
      <c r="I770" s="209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 spans="2:24">
      <c r="B771" s="16"/>
      <c r="C771" s="16"/>
      <c r="D771" s="16"/>
      <c r="E771" s="16"/>
      <c r="F771" s="209"/>
      <c r="G771" s="209"/>
      <c r="H771" s="209"/>
      <c r="I771" s="209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 spans="2:24">
      <c r="B772" s="16"/>
      <c r="C772" s="16"/>
      <c r="D772" s="16"/>
      <c r="E772" s="16"/>
      <c r="F772" s="209"/>
      <c r="G772" s="209"/>
      <c r="H772" s="209"/>
      <c r="I772" s="209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 spans="2:24">
      <c r="B773" s="16"/>
      <c r="C773" s="16"/>
      <c r="D773" s="16"/>
      <c r="E773" s="16"/>
      <c r="F773" s="209"/>
      <c r="G773" s="209"/>
      <c r="H773" s="209"/>
      <c r="I773" s="209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 spans="2:24">
      <c r="B774" s="16"/>
      <c r="C774" s="16"/>
      <c r="D774" s="16"/>
      <c r="E774" s="16"/>
      <c r="F774" s="209"/>
      <c r="G774" s="209"/>
      <c r="H774" s="209"/>
      <c r="I774" s="209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 spans="2:24">
      <c r="B775" s="16"/>
      <c r="C775" s="16"/>
      <c r="D775" s="16"/>
      <c r="E775" s="16"/>
      <c r="F775" s="209"/>
      <c r="G775" s="209"/>
      <c r="H775" s="209"/>
      <c r="I775" s="209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 spans="2:24">
      <c r="B776" s="16"/>
      <c r="C776" s="16"/>
      <c r="D776" s="16"/>
      <c r="E776" s="16"/>
      <c r="F776" s="209"/>
      <c r="G776" s="209"/>
      <c r="H776" s="209"/>
      <c r="I776" s="209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 spans="2:24">
      <c r="B777" s="16"/>
      <c r="C777" s="16"/>
      <c r="D777" s="16"/>
      <c r="E777" s="16"/>
      <c r="F777" s="209"/>
      <c r="G777" s="209"/>
      <c r="H777" s="209"/>
      <c r="I777" s="209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 spans="2:24">
      <c r="B778" s="16"/>
      <c r="C778" s="16"/>
      <c r="D778" s="16"/>
      <c r="E778" s="16"/>
      <c r="F778" s="209"/>
      <c r="G778" s="209"/>
      <c r="H778" s="209"/>
      <c r="I778" s="209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 spans="2:24">
      <c r="B779" s="16"/>
      <c r="C779" s="16"/>
      <c r="D779" s="16"/>
      <c r="E779" s="16"/>
      <c r="F779" s="209"/>
      <c r="G779" s="209"/>
      <c r="H779" s="209"/>
      <c r="I779" s="209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 spans="2:24">
      <c r="B780" s="16"/>
      <c r="C780" s="16"/>
      <c r="D780" s="16"/>
      <c r="E780" s="16"/>
      <c r="F780" s="209"/>
      <c r="G780" s="209"/>
      <c r="H780" s="209"/>
      <c r="I780" s="209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 spans="2:24">
      <c r="B781" s="16"/>
      <c r="C781" s="16"/>
      <c r="D781" s="16"/>
      <c r="E781" s="16"/>
      <c r="F781" s="209"/>
      <c r="G781" s="209"/>
      <c r="H781" s="209"/>
      <c r="I781" s="209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 spans="2:24">
      <c r="B782" s="16"/>
      <c r="C782" s="16"/>
      <c r="D782" s="16"/>
      <c r="E782" s="16"/>
      <c r="F782" s="209"/>
      <c r="G782" s="209"/>
      <c r="H782" s="209"/>
      <c r="I782" s="209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 spans="2:24">
      <c r="B783" s="16"/>
      <c r="C783" s="16"/>
      <c r="D783" s="16"/>
      <c r="E783" s="16"/>
      <c r="F783" s="209"/>
      <c r="G783" s="209"/>
      <c r="H783" s="209"/>
      <c r="I783" s="209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 spans="2:24">
      <c r="B784" s="16"/>
      <c r="C784" s="16"/>
      <c r="D784" s="16"/>
      <c r="E784" s="16"/>
      <c r="F784" s="209"/>
      <c r="G784" s="209"/>
      <c r="H784" s="209"/>
      <c r="I784" s="209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 spans="2:24">
      <c r="B785" s="16"/>
      <c r="C785" s="16"/>
      <c r="D785" s="16"/>
      <c r="E785" s="16"/>
      <c r="F785" s="209"/>
      <c r="G785" s="209"/>
      <c r="H785" s="209"/>
      <c r="I785" s="209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 spans="2:24">
      <c r="B786" s="16"/>
      <c r="C786" s="16"/>
      <c r="D786" s="16"/>
      <c r="E786" s="16"/>
      <c r="F786" s="209"/>
      <c r="G786" s="209"/>
      <c r="H786" s="209"/>
      <c r="I786" s="209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 spans="2:24">
      <c r="B787" s="16"/>
      <c r="C787" s="16"/>
      <c r="D787" s="16"/>
      <c r="E787" s="16"/>
      <c r="F787" s="209"/>
      <c r="G787" s="209"/>
      <c r="H787" s="209"/>
      <c r="I787" s="209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 spans="2:24">
      <c r="B788" s="16"/>
      <c r="C788" s="16"/>
      <c r="D788" s="16"/>
      <c r="E788" s="16"/>
      <c r="F788" s="209"/>
      <c r="G788" s="209"/>
      <c r="H788" s="209"/>
      <c r="I788" s="209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 spans="2:24">
      <c r="B789" s="16"/>
      <c r="C789" s="16"/>
      <c r="D789" s="16"/>
      <c r="E789" s="16"/>
      <c r="F789" s="209"/>
      <c r="G789" s="209"/>
      <c r="H789" s="209"/>
      <c r="I789" s="209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 spans="2:24">
      <c r="B790" s="16"/>
      <c r="C790" s="16"/>
      <c r="D790" s="16"/>
      <c r="E790" s="16"/>
      <c r="F790" s="209"/>
      <c r="G790" s="209"/>
      <c r="H790" s="209"/>
      <c r="I790" s="209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 spans="2:24">
      <c r="B791" s="16"/>
      <c r="C791" s="16"/>
      <c r="D791" s="16"/>
      <c r="E791" s="16"/>
      <c r="F791" s="209"/>
      <c r="G791" s="209"/>
      <c r="H791" s="209"/>
      <c r="I791" s="209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 spans="2:24">
      <c r="B792" s="16"/>
      <c r="C792" s="16"/>
      <c r="D792" s="16"/>
      <c r="E792" s="16"/>
      <c r="F792" s="209"/>
      <c r="G792" s="209"/>
      <c r="H792" s="209"/>
      <c r="I792" s="209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 spans="2:24">
      <c r="B793" s="16"/>
      <c r="C793" s="16"/>
      <c r="D793" s="16"/>
      <c r="E793" s="16"/>
      <c r="F793" s="209"/>
      <c r="G793" s="209"/>
      <c r="H793" s="209"/>
      <c r="I793" s="209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 spans="2:24">
      <c r="B794" s="16"/>
      <c r="C794" s="16"/>
      <c r="D794" s="16"/>
      <c r="E794" s="16"/>
      <c r="F794" s="209"/>
      <c r="G794" s="209"/>
      <c r="H794" s="209"/>
      <c r="I794" s="209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 spans="2:24">
      <c r="B795" s="16"/>
      <c r="C795" s="16"/>
      <c r="D795" s="16"/>
      <c r="E795" s="16"/>
      <c r="F795" s="209"/>
      <c r="G795" s="209"/>
      <c r="H795" s="209"/>
      <c r="I795" s="209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 spans="2:24">
      <c r="B796" s="16"/>
      <c r="C796" s="16"/>
      <c r="D796" s="16"/>
      <c r="E796" s="16"/>
      <c r="F796" s="209"/>
      <c r="G796" s="209"/>
      <c r="H796" s="209"/>
      <c r="I796" s="209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 spans="2:24">
      <c r="B797" s="16"/>
      <c r="C797" s="16"/>
      <c r="D797" s="16"/>
      <c r="E797" s="16"/>
      <c r="F797" s="209"/>
      <c r="G797" s="209"/>
      <c r="H797" s="209"/>
      <c r="I797" s="209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 spans="2:24">
      <c r="B798" s="16"/>
      <c r="C798" s="16"/>
      <c r="D798" s="16"/>
      <c r="E798" s="16"/>
      <c r="F798" s="209"/>
      <c r="G798" s="209"/>
      <c r="H798" s="209"/>
      <c r="I798" s="209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 spans="2:24">
      <c r="B799" s="16"/>
      <c r="C799" s="16"/>
      <c r="D799" s="16"/>
      <c r="E799" s="16"/>
      <c r="F799" s="209"/>
      <c r="G799" s="209"/>
      <c r="H799" s="209"/>
      <c r="I799" s="209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 spans="2:24">
      <c r="B800" s="16"/>
      <c r="C800" s="16"/>
      <c r="D800" s="16"/>
      <c r="E800" s="16"/>
      <c r="F800" s="209"/>
      <c r="G800" s="209"/>
      <c r="H800" s="209"/>
      <c r="I800" s="209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 spans="2:24">
      <c r="B801" s="16"/>
      <c r="C801" s="16"/>
      <c r="D801" s="16"/>
      <c r="E801" s="16"/>
      <c r="F801" s="209"/>
      <c r="G801" s="209"/>
      <c r="H801" s="209"/>
      <c r="I801" s="209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 spans="2:24">
      <c r="B802" s="16"/>
      <c r="C802" s="16"/>
      <c r="D802" s="16"/>
      <c r="E802" s="16"/>
      <c r="F802" s="209"/>
      <c r="G802" s="209"/>
      <c r="H802" s="209"/>
      <c r="I802" s="209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 spans="2:24">
      <c r="B803" s="16"/>
      <c r="C803" s="16"/>
      <c r="D803" s="16"/>
      <c r="E803" s="16"/>
      <c r="F803" s="209"/>
      <c r="G803" s="209"/>
      <c r="H803" s="209"/>
      <c r="I803" s="209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 spans="2:24">
      <c r="B804" s="16"/>
      <c r="C804" s="16"/>
      <c r="D804" s="16"/>
      <c r="E804" s="16"/>
      <c r="F804" s="209"/>
      <c r="G804" s="209"/>
      <c r="H804" s="209"/>
      <c r="I804" s="209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 spans="2:24">
      <c r="B805" s="16"/>
      <c r="C805" s="16"/>
      <c r="D805" s="16"/>
      <c r="E805" s="16"/>
      <c r="F805" s="209"/>
      <c r="G805" s="209"/>
      <c r="H805" s="209"/>
      <c r="I805" s="209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 spans="2:24">
      <c r="B806" s="16"/>
      <c r="C806" s="16"/>
      <c r="D806" s="16"/>
      <c r="E806" s="16"/>
      <c r="F806" s="209"/>
      <c r="G806" s="209"/>
      <c r="H806" s="209"/>
      <c r="I806" s="209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 spans="2:24">
      <c r="B807" s="16"/>
      <c r="C807" s="16"/>
      <c r="D807" s="16"/>
      <c r="E807" s="16"/>
      <c r="F807" s="209"/>
      <c r="G807" s="209"/>
      <c r="H807" s="209"/>
      <c r="I807" s="209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 spans="2:24">
      <c r="B808" s="16"/>
      <c r="C808" s="16"/>
      <c r="D808" s="16"/>
      <c r="E808" s="16"/>
      <c r="F808" s="209"/>
      <c r="G808" s="209"/>
      <c r="H808" s="209"/>
      <c r="I808" s="209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 spans="2:24">
      <c r="B809" s="16"/>
      <c r="C809" s="16"/>
      <c r="D809" s="16"/>
      <c r="E809" s="16"/>
      <c r="F809" s="209"/>
      <c r="G809" s="209"/>
      <c r="H809" s="209"/>
      <c r="I809" s="209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 spans="2:24">
      <c r="B810" s="16"/>
      <c r="C810" s="16"/>
      <c r="D810" s="16"/>
      <c r="E810" s="16"/>
      <c r="F810" s="209"/>
      <c r="G810" s="209"/>
      <c r="H810" s="209"/>
      <c r="I810" s="209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 spans="2:24">
      <c r="B811" s="16"/>
      <c r="C811" s="16"/>
      <c r="D811" s="16"/>
      <c r="E811" s="16"/>
      <c r="F811" s="209"/>
      <c r="G811" s="209"/>
      <c r="H811" s="209"/>
      <c r="I811" s="209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 spans="2:24">
      <c r="B812" s="16"/>
      <c r="C812" s="16"/>
      <c r="D812" s="16"/>
      <c r="E812" s="16"/>
      <c r="F812" s="209"/>
      <c r="G812" s="209"/>
      <c r="H812" s="209"/>
      <c r="I812" s="209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 spans="2:24">
      <c r="B813" s="16"/>
      <c r="C813" s="16"/>
      <c r="D813" s="16"/>
      <c r="E813" s="16"/>
      <c r="F813" s="209"/>
      <c r="G813" s="209"/>
      <c r="H813" s="209"/>
      <c r="I813" s="209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 spans="2:24">
      <c r="B814" s="16"/>
      <c r="C814" s="16"/>
      <c r="D814" s="16"/>
      <c r="E814" s="16"/>
      <c r="F814" s="209"/>
      <c r="G814" s="209"/>
      <c r="H814" s="209"/>
      <c r="I814" s="209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 spans="2:24">
      <c r="B815" s="16"/>
      <c r="C815" s="16"/>
      <c r="D815" s="16"/>
      <c r="E815" s="16"/>
      <c r="F815" s="209"/>
      <c r="G815" s="209"/>
      <c r="H815" s="209"/>
      <c r="I815" s="209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 spans="2:24">
      <c r="B816" s="16"/>
      <c r="C816" s="16"/>
      <c r="D816" s="16"/>
      <c r="E816" s="16"/>
      <c r="F816" s="209"/>
      <c r="G816" s="209"/>
      <c r="H816" s="209"/>
      <c r="I816" s="209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 spans="2:24">
      <c r="B817" s="16"/>
      <c r="C817" s="16"/>
      <c r="D817" s="16"/>
      <c r="E817" s="16"/>
      <c r="F817" s="209"/>
      <c r="G817" s="209"/>
      <c r="H817" s="209"/>
      <c r="I817" s="209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 spans="2:24">
      <c r="B818" s="16"/>
      <c r="C818" s="16"/>
      <c r="D818" s="16"/>
      <c r="E818" s="16"/>
      <c r="F818" s="209"/>
      <c r="G818" s="209"/>
      <c r="H818" s="209"/>
      <c r="I818" s="209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 spans="2:24">
      <c r="B819" s="16"/>
      <c r="C819" s="16"/>
      <c r="D819" s="16"/>
      <c r="E819" s="16"/>
      <c r="F819" s="209"/>
      <c r="G819" s="209"/>
      <c r="H819" s="209"/>
      <c r="I819" s="209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 spans="2:24">
      <c r="B820" s="16"/>
      <c r="C820" s="16"/>
      <c r="D820" s="16"/>
      <c r="E820" s="16"/>
      <c r="F820" s="209"/>
      <c r="G820" s="209"/>
      <c r="H820" s="209"/>
      <c r="I820" s="209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 spans="2:24">
      <c r="B821" s="16"/>
      <c r="C821" s="16"/>
      <c r="D821" s="16"/>
      <c r="E821" s="16"/>
      <c r="F821" s="209"/>
      <c r="G821" s="209"/>
      <c r="H821" s="209"/>
      <c r="I821" s="209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 spans="2:24">
      <c r="B822" s="16"/>
      <c r="C822" s="16"/>
      <c r="D822" s="16"/>
      <c r="E822" s="16"/>
      <c r="F822" s="209"/>
      <c r="G822" s="209"/>
      <c r="H822" s="209"/>
      <c r="I822" s="209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 spans="2:24">
      <c r="B823" s="16"/>
      <c r="C823" s="16"/>
      <c r="D823" s="16"/>
      <c r="E823" s="16"/>
      <c r="F823" s="209"/>
      <c r="G823" s="209"/>
      <c r="H823" s="209"/>
      <c r="I823" s="209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 spans="2:24">
      <c r="B824" s="16"/>
      <c r="C824" s="16"/>
      <c r="D824" s="16"/>
      <c r="E824" s="16"/>
      <c r="F824" s="209"/>
      <c r="G824" s="209"/>
      <c r="H824" s="209"/>
      <c r="I824" s="209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 spans="2:24">
      <c r="B825" s="16"/>
      <c r="C825" s="16"/>
      <c r="D825" s="16"/>
      <c r="E825" s="16"/>
      <c r="F825" s="209"/>
      <c r="G825" s="209"/>
      <c r="H825" s="209"/>
      <c r="I825" s="209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 spans="2:24">
      <c r="B826" s="16"/>
      <c r="C826" s="16"/>
      <c r="D826" s="16"/>
      <c r="E826" s="16"/>
      <c r="F826" s="209"/>
      <c r="G826" s="209"/>
      <c r="H826" s="209"/>
      <c r="I826" s="209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 spans="2:24">
      <c r="B827" s="16"/>
      <c r="C827" s="16"/>
      <c r="D827" s="16"/>
      <c r="E827" s="16"/>
      <c r="F827" s="209"/>
      <c r="G827" s="209"/>
      <c r="H827" s="209"/>
      <c r="I827" s="209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 spans="2:24">
      <c r="B828" s="16"/>
      <c r="C828" s="16"/>
      <c r="D828" s="16"/>
      <c r="E828" s="16"/>
      <c r="F828" s="209"/>
      <c r="G828" s="209"/>
      <c r="H828" s="209"/>
      <c r="I828" s="209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 spans="2:24">
      <c r="B829" s="16"/>
      <c r="C829" s="16"/>
      <c r="D829" s="16"/>
      <c r="E829" s="16"/>
      <c r="F829" s="209"/>
      <c r="G829" s="209"/>
      <c r="H829" s="209"/>
      <c r="I829" s="209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 spans="2:24">
      <c r="B830" s="16"/>
      <c r="C830" s="16"/>
      <c r="D830" s="16"/>
      <c r="E830" s="16"/>
      <c r="F830" s="209"/>
      <c r="G830" s="209"/>
      <c r="H830" s="209"/>
      <c r="I830" s="209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 spans="2:24">
      <c r="B831" s="16"/>
      <c r="C831" s="16"/>
      <c r="D831" s="16"/>
      <c r="E831" s="16"/>
      <c r="F831" s="209"/>
      <c r="G831" s="209"/>
      <c r="H831" s="209"/>
      <c r="I831" s="209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 spans="2:24">
      <c r="B832" s="16"/>
      <c r="C832" s="16"/>
      <c r="D832" s="16"/>
      <c r="E832" s="16"/>
      <c r="F832" s="209"/>
      <c r="G832" s="209"/>
      <c r="H832" s="209"/>
      <c r="I832" s="209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 spans="2:24">
      <c r="B833" s="16"/>
      <c r="C833" s="16"/>
      <c r="D833" s="16"/>
      <c r="E833" s="16"/>
      <c r="F833" s="209"/>
      <c r="G833" s="209"/>
      <c r="H833" s="209"/>
      <c r="I833" s="209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 spans="2:24">
      <c r="B834" s="16"/>
      <c r="C834" s="16"/>
      <c r="D834" s="16"/>
      <c r="E834" s="16"/>
      <c r="F834" s="209"/>
      <c r="G834" s="209"/>
      <c r="H834" s="209"/>
      <c r="I834" s="209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 spans="2:24">
      <c r="B835" s="16"/>
      <c r="C835" s="16"/>
      <c r="D835" s="16"/>
      <c r="E835" s="16"/>
      <c r="F835" s="209"/>
      <c r="G835" s="209"/>
      <c r="H835" s="209"/>
      <c r="I835" s="209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 spans="2:24">
      <c r="B836" s="16"/>
      <c r="C836" s="16"/>
      <c r="D836" s="16"/>
      <c r="E836" s="16"/>
      <c r="F836" s="209"/>
      <c r="G836" s="209"/>
      <c r="H836" s="209"/>
      <c r="I836" s="209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 spans="2:24">
      <c r="B837" s="16"/>
      <c r="C837" s="16"/>
      <c r="D837" s="16"/>
      <c r="E837" s="16"/>
      <c r="F837" s="209"/>
      <c r="G837" s="209"/>
      <c r="H837" s="209"/>
      <c r="I837" s="209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 spans="2:24">
      <c r="B838" s="16"/>
      <c r="C838" s="16"/>
      <c r="D838" s="16"/>
      <c r="E838" s="16"/>
      <c r="F838" s="209"/>
      <c r="G838" s="209"/>
      <c r="H838" s="209"/>
      <c r="I838" s="209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 spans="2:24">
      <c r="B839" s="16"/>
      <c r="C839" s="16"/>
      <c r="D839" s="16"/>
      <c r="E839" s="16"/>
      <c r="F839" s="209"/>
      <c r="G839" s="209"/>
      <c r="H839" s="209"/>
      <c r="I839" s="209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 spans="2:24">
      <c r="B840" s="16"/>
      <c r="C840" s="16"/>
      <c r="D840" s="16"/>
      <c r="E840" s="16"/>
      <c r="F840" s="209"/>
      <c r="G840" s="209"/>
      <c r="H840" s="209"/>
      <c r="I840" s="209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 spans="2:24">
      <c r="B841" s="16"/>
      <c r="C841" s="16"/>
      <c r="D841" s="16"/>
      <c r="E841" s="16"/>
      <c r="F841" s="209"/>
      <c r="G841" s="209"/>
      <c r="H841" s="209"/>
      <c r="I841" s="209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 spans="2:24">
      <c r="B842" s="16"/>
      <c r="C842" s="16"/>
      <c r="D842" s="16"/>
      <c r="E842" s="16"/>
      <c r="F842" s="209"/>
      <c r="G842" s="209"/>
      <c r="H842" s="209"/>
      <c r="I842" s="209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 spans="2:24">
      <c r="B843" s="16"/>
      <c r="C843" s="16"/>
      <c r="D843" s="16"/>
      <c r="E843" s="16"/>
      <c r="F843" s="209"/>
      <c r="G843" s="209"/>
      <c r="H843" s="209"/>
      <c r="I843" s="209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 spans="2:24">
      <c r="B844" s="16"/>
      <c r="C844" s="16"/>
      <c r="D844" s="16"/>
      <c r="E844" s="16"/>
      <c r="F844" s="209"/>
      <c r="G844" s="209"/>
      <c r="H844" s="209"/>
      <c r="I844" s="209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 spans="2:24">
      <c r="B845" s="16"/>
      <c r="C845" s="16"/>
      <c r="D845" s="16"/>
      <c r="E845" s="16"/>
      <c r="F845" s="209"/>
      <c r="G845" s="209"/>
      <c r="H845" s="209"/>
      <c r="I845" s="209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 spans="2:24">
      <c r="B846" s="16"/>
      <c r="C846" s="16"/>
      <c r="D846" s="16"/>
      <c r="E846" s="16"/>
      <c r="F846" s="209"/>
      <c r="G846" s="209"/>
      <c r="H846" s="209"/>
      <c r="I846" s="209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 spans="2:24">
      <c r="B847" s="16"/>
      <c r="C847" s="16"/>
      <c r="D847" s="16"/>
      <c r="E847" s="16"/>
      <c r="F847" s="209"/>
      <c r="G847" s="209"/>
      <c r="H847" s="209"/>
      <c r="I847" s="209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 spans="2:24">
      <c r="B848" s="16"/>
      <c r="C848" s="16"/>
      <c r="D848" s="16"/>
      <c r="E848" s="16"/>
      <c r="F848" s="209"/>
      <c r="G848" s="209"/>
      <c r="H848" s="209"/>
      <c r="I848" s="209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 spans="2:24">
      <c r="B849" s="16"/>
      <c r="C849" s="16"/>
      <c r="D849" s="16"/>
      <c r="E849" s="16"/>
      <c r="F849" s="209"/>
      <c r="G849" s="209"/>
      <c r="H849" s="209"/>
      <c r="I849" s="209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 spans="2:24">
      <c r="B850" s="16"/>
      <c r="C850" s="16"/>
      <c r="D850" s="16"/>
      <c r="E850" s="16"/>
      <c r="F850" s="209"/>
      <c r="G850" s="209"/>
      <c r="H850" s="209"/>
      <c r="I850" s="209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 spans="2:24">
      <c r="B851" s="16"/>
      <c r="C851" s="16"/>
      <c r="D851" s="16"/>
      <c r="E851" s="16"/>
      <c r="F851" s="209"/>
      <c r="G851" s="209"/>
      <c r="H851" s="209"/>
      <c r="I851" s="209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 spans="2:24">
      <c r="B852" s="16"/>
      <c r="C852" s="16"/>
      <c r="D852" s="16"/>
      <c r="E852" s="16"/>
      <c r="F852" s="209"/>
      <c r="G852" s="209"/>
      <c r="H852" s="209"/>
      <c r="I852" s="209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 spans="2:24">
      <c r="B853" s="16"/>
      <c r="C853" s="16"/>
      <c r="D853" s="16"/>
      <c r="E853" s="16"/>
      <c r="F853" s="209"/>
      <c r="G853" s="209"/>
      <c r="H853" s="209"/>
      <c r="I853" s="209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 spans="2:24">
      <c r="B854" s="16"/>
      <c r="C854" s="16"/>
      <c r="D854" s="16"/>
      <c r="E854" s="16"/>
      <c r="F854" s="209"/>
      <c r="G854" s="209"/>
      <c r="H854" s="209"/>
      <c r="I854" s="209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 spans="2:24">
      <c r="B855" s="16"/>
      <c r="C855" s="16"/>
      <c r="D855" s="16"/>
      <c r="E855" s="16"/>
      <c r="F855" s="209"/>
      <c r="G855" s="209"/>
      <c r="H855" s="209"/>
      <c r="I855" s="209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 spans="2:24">
      <c r="B856" s="16"/>
      <c r="C856" s="16"/>
      <c r="D856" s="16"/>
      <c r="E856" s="16"/>
      <c r="F856" s="209"/>
      <c r="G856" s="209"/>
      <c r="H856" s="209"/>
      <c r="I856" s="209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 spans="2:24">
      <c r="B857" s="16"/>
      <c r="C857" s="16"/>
      <c r="D857" s="16"/>
      <c r="E857" s="16"/>
      <c r="F857" s="209"/>
      <c r="G857" s="209"/>
      <c r="H857" s="209"/>
      <c r="I857" s="209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 spans="2:24">
      <c r="B858" s="16"/>
      <c r="C858" s="16"/>
      <c r="D858" s="16"/>
      <c r="E858" s="16"/>
      <c r="F858" s="209"/>
      <c r="G858" s="209"/>
      <c r="H858" s="209"/>
      <c r="I858" s="209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 spans="2:24">
      <c r="B859" s="16"/>
      <c r="C859" s="16"/>
      <c r="D859" s="16"/>
      <c r="E859" s="16"/>
      <c r="F859" s="209"/>
      <c r="G859" s="209"/>
      <c r="H859" s="209"/>
      <c r="I859" s="209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 spans="2:24">
      <c r="B860" s="16"/>
      <c r="C860" s="16"/>
      <c r="D860" s="16"/>
      <c r="E860" s="16"/>
      <c r="F860" s="209"/>
      <c r="G860" s="209"/>
      <c r="H860" s="209"/>
      <c r="I860" s="209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 spans="2:24">
      <c r="B861" s="16"/>
      <c r="C861" s="16"/>
      <c r="D861" s="16"/>
      <c r="E861" s="16"/>
      <c r="F861" s="209"/>
      <c r="G861" s="209"/>
      <c r="H861" s="209"/>
      <c r="I861" s="209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 spans="2:24">
      <c r="B862" s="16"/>
      <c r="C862" s="16"/>
      <c r="D862" s="16"/>
      <c r="E862" s="16"/>
      <c r="F862" s="209"/>
      <c r="G862" s="209"/>
      <c r="H862" s="209"/>
      <c r="I862" s="209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 spans="2:24">
      <c r="B863" s="16"/>
      <c r="C863" s="16"/>
      <c r="D863" s="16"/>
      <c r="E863" s="16"/>
      <c r="F863" s="209"/>
      <c r="G863" s="209"/>
      <c r="H863" s="209"/>
      <c r="I863" s="209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 spans="2:24">
      <c r="B864" s="16"/>
      <c r="C864" s="16"/>
      <c r="D864" s="16"/>
      <c r="E864" s="16"/>
      <c r="F864" s="209"/>
      <c r="G864" s="209"/>
      <c r="H864" s="209"/>
      <c r="I864" s="209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 spans="2:24">
      <c r="B865" s="16"/>
      <c r="C865" s="16"/>
      <c r="D865" s="16"/>
      <c r="E865" s="16"/>
      <c r="F865" s="209"/>
      <c r="G865" s="209"/>
      <c r="H865" s="209"/>
      <c r="I865" s="209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 spans="2:24">
      <c r="B866" s="16"/>
      <c r="C866" s="16"/>
      <c r="D866" s="16"/>
      <c r="E866" s="16"/>
      <c r="F866" s="209"/>
      <c r="G866" s="209"/>
      <c r="H866" s="209"/>
      <c r="I866" s="209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 spans="2:24">
      <c r="B867" s="16"/>
      <c r="C867" s="16"/>
      <c r="D867" s="16"/>
      <c r="E867" s="16"/>
      <c r="F867" s="209"/>
      <c r="G867" s="209"/>
      <c r="H867" s="209"/>
      <c r="I867" s="209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 spans="2:24">
      <c r="B868" s="16"/>
      <c r="C868" s="16"/>
      <c r="D868" s="16"/>
      <c r="E868" s="16"/>
      <c r="F868" s="209"/>
      <c r="G868" s="209"/>
      <c r="H868" s="209"/>
      <c r="I868" s="209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 spans="2:24">
      <c r="B869" s="16"/>
      <c r="C869" s="16"/>
      <c r="D869" s="16"/>
      <c r="E869" s="16"/>
      <c r="F869" s="209"/>
      <c r="G869" s="209"/>
      <c r="H869" s="209"/>
      <c r="I869" s="209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 spans="2:24">
      <c r="B870" s="16"/>
      <c r="C870" s="16"/>
      <c r="D870" s="16"/>
      <c r="E870" s="16"/>
      <c r="F870" s="209"/>
      <c r="G870" s="209"/>
      <c r="H870" s="209"/>
      <c r="I870" s="209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 spans="2:24">
      <c r="B871" s="16"/>
      <c r="C871" s="16"/>
      <c r="D871" s="16"/>
      <c r="E871" s="16"/>
      <c r="F871" s="209"/>
      <c r="G871" s="209"/>
      <c r="H871" s="209"/>
      <c r="I871" s="209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 spans="2:24">
      <c r="B872" s="16"/>
      <c r="C872" s="16"/>
      <c r="D872" s="16"/>
      <c r="E872" s="16"/>
      <c r="F872" s="209"/>
      <c r="G872" s="209"/>
      <c r="H872" s="209"/>
      <c r="I872" s="209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 spans="2:24">
      <c r="B873" s="16"/>
      <c r="C873" s="16"/>
      <c r="D873" s="16"/>
      <c r="E873" s="16"/>
      <c r="F873" s="209"/>
      <c r="G873" s="209"/>
      <c r="H873" s="209"/>
      <c r="I873" s="209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 spans="2:24">
      <c r="B874" s="16"/>
      <c r="C874" s="16"/>
      <c r="D874" s="16"/>
      <c r="E874" s="16"/>
      <c r="F874" s="209"/>
      <c r="G874" s="209"/>
      <c r="H874" s="209"/>
      <c r="I874" s="209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 spans="2:24">
      <c r="B875" s="16"/>
      <c r="C875" s="16"/>
      <c r="D875" s="16"/>
      <c r="E875" s="16"/>
      <c r="F875" s="209"/>
      <c r="G875" s="209"/>
      <c r="H875" s="209"/>
      <c r="I875" s="209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 spans="2:24">
      <c r="B876" s="16"/>
      <c r="C876" s="16"/>
      <c r="D876" s="16"/>
      <c r="E876" s="16"/>
      <c r="F876" s="209"/>
      <c r="G876" s="209"/>
      <c r="H876" s="209"/>
      <c r="I876" s="209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 spans="2:24">
      <c r="B877" s="16"/>
      <c r="C877" s="16"/>
      <c r="D877" s="16"/>
      <c r="E877" s="16"/>
      <c r="F877" s="209"/>
      <c r="G877" s="209"/>
      <c r="H877" s="209"/>
      <c r="I877" s="209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 spans="2:24">
      <c r="B878" s="16"/>
      <c r="C878" s="16"/>
      <c r="D878" s="16"/>
      <c r="E878" s="16"/>
      <c r="F878" s="209"/>
      <c r="G878" s="209"/>
      <c r="H878" s="209"/>
      <c r="I878" s="209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 spans="2:24">
      <c r="B879" s="16"/>
      <c r="C879" s="16"/>
      <c r="D879" s="16"/>
      <c r="E879" s="16"/>
      <c r="F879" s="209"/>
      <c r="G879" s="209"/>
      <c r="H879" s="209"/>
      <c r="I879" s="209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 spans="2:24">
      <c r="B880" s="16"/>
      <c r="C880" s="16"/>
      <c r="D880" s="16"/>
      <c r="E880" s="16"/>
      <c r="F880" s="209"/>
      <c r="G880" s="209"/>
      <c r="H880" s="209"/>
      <c r="I880" s="209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 spans="2:24">
      <c r="B881" s="16"/>
      <c r="C881" s="16"/>
      <c r="D881" s="16"/>
      <c r="E881" s="16"/>
      <c r="F881" s="209"/>
      <c r="G881" s="209"/>
      <c r="H881" s="209"/>
      <c r="I881" s="209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 spans="2:24">
      <c r="B882" s="16"/>
      <c r="C882" s="16"/>
      <c r="D882" s="16"/>
      <c r="E882" s="16"/>
      <c r="F882" s="209"/>
      <c r="G882" s="209"/>
      <c r="H882" s="209"/>
      <c r="I882" s="209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 spans="2:24">
      <c r="B883" s="16"/>
      <c r="C883" s="16"/>
      <c r="D883" s="16"/>
      <c r="E883" s="16"/>
      <c r="F883" s="209"/>
      <c r="G883" s="209"/>
      <c r="H883" s="209"/>
      <c r="I883" s="209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 spans="2:24">
      <c r="B884" s="16"/>
      <c r="C884" s="16"/>
      <c r="D884" s="16"/>
      <c r="E884" s="16"/>
      <c r="F884" s="209"/>
      <c r="G884" s="209"/>
      <c r="H884" s="209"/>
      <c r="I884" s="209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 spans="2:24">
      <c r="B885" s="16"/>
      <c r="C885" s="16"/>
      <c r="D885" s="16"/>
      <c r="E885" s="16"/>
      <c r="F885" s="209"/>
      <c r="G885" s="209"/>
      <c r="H885" s="209"/>
      <c r="I885" s="209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 spans="2:24">
      <c r="B886" s="16"/>
      <c r="C886" s="16"/>
      <c r="D886" s="16"/>
      <c r="E886" s="16"/>
      <c r="F886" s="209"/>
      <c r="G886" s="209"/>
      <c r="H886" s="209"/>
      <c r="I886" s="209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 spans="2:24">
      <c r="B887" s="16"/>
      <c r="C887" s="16"/>
      <c r="D887" s="16"/>
      <c r="E887" s="16"/>
      <c r="F887" s="209"/>
      <c r="G887" s="209"/>
      <c r="H887" s="209"/>
      <c r="I887" s="209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 spans="2:24">
      <c r="B888" s="16"/>
      <c r="C888" s="16"/>
      <c r="D888" s="16"/>
      <c r="E888" s="16"/>
      <c r="F888" s="209"/>
      <c r="G888" s="209"/>
      <c r="H888" s="209"/>
      <c r="I888" s="209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 spans="2:24">
      <c r="B889" s="16"/>
      <c r="C889" s="16"/>
      <c r="D889" s="16"/>
      <c r="E889" s="16"/>
      <c r="F889" s="209"/>
      <c r="G889" s="209"/>
      <c r="H889" s="209"/>
      <c r="I889" s="209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 spans="2:24">
      <c r="B890" s="16"/>
      <c r="C890" s="16"/>
      <c r="D890" s="16"/>
      <c r="E890" s="16"/>
      <c r="F890" s="209"/>
      <c r="G890" s="209"/>
      <c r="H890" s="209"/>
      <c r="I890" s="209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 spans="2:24">
      <c r="B891" s="16"/>
      <c r="C891" s="16"/>
      <c r="D891" s="16"/>
      <c r="E891" s="16"/>
      <c r="F891" s="209"/>
      <c r="G891" s="209"/>
      <c r="H891" s="209"/>
      <c r="I891" s="209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 spans="2:24">
      <c r="B892" s="16"/>
      <c r="C892" s="16"/>
      <c r="D892" s="16"/>
      <c r="E892" s="16"/>
      <c r="F892" s="209"/>
      <c r="G892" s="209"/>
      <c r="H892" s="209"/>
      <c r="I892" s="209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 spans="2:24">
      <c r="B893" s="16"/>
      <c r="C893" s="16"/>
      <c r="D893" s="16"/>
      <c r="E893" s="16"/>
      <c r="F893" s="209"/>
      <c r="G893" s="209"/>
      <c r="H893" s="209"/>
      <c r="I893" s="209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 spans="2:24">
      <c r="B894" s="16"/>
      <c r="C894" s="16"/>
      <c r="D894" s="16"/>
      <c r="E894" s="16"/>
      <c r="F894" s="209"/>
      <c r="G894" s="209"/>
      <c r="H894" s="209"/>
      <c r="I894" s="209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 spans="2:24">
      <c r="B895" s="16"/>
      <c r="C895" s="16"/>
      <c r="D895" s="16"/>
      <c r="E895" s="16"/>
      <c r="F895" s="209"/>
      <c r="G895" s="209"/>
      <c r="H895" s="209"/>
      <c r="I895" s="209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 spans="2:24">
      <c r="B896" s="16"/>
      <c r="C896" s="16"/>
      <c r="D896" s="16"/>
      <c r="E896" s="16"/>
      <c r="F896" s="209"/>
      <c r="G896" s="209"/>
      <c r="H896" s="209"/>
      <c r="I896" s="209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 spans="2:24">
      <c r="B897" s="16"/>
      <c r="C897" s="16"/>
      <c r="D897" s="16"/>
      <c r="E897" s="16"/>
      <c r="F897" s="209"/>
      <c r="G897" s="209"/>
      <c r="H897" s="209"/>
      <c r="I897" s="209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 spans="2:24">
      <c r="B898" s="16"/>
      <c r="C898" s="16"/>
      <c r="D898" s="16"/>
      <c r="E898" s="16"/>
      <c r="F898" s="209"/>
      <c r="G898" s="209"/>
      <c r="H898" s="209"/>
      <c r="I898" s="209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 spans="2:24">
      <c r="B899" s="16"/>
      <c r="C899" s="16"/>
      <c r="D899" s="16"/>
      <c r="E899" s="16"/>
      <c r="F899" s="209"/>
      <c r="G899" s="209"/>
      <c r="H899" s="209"/>
      <c r="I899" s="209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 spans="2:24">
      <c r="B900" s="16"/>
      <c r="C900" s="16"/>
      <c r="D900" s="16"/>
      <c r="E900" s="16"/>
      <c r="F900" s="209"/>
      <c r="G900" s="209"/>
      <c r="H900" s="209"/>
      <c r="I900" s="209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 spans="2:24">
      <c r="B901" s="16"/>
      <c r="C901" s="16"/>
      <c r="D901" s="16"/>
      <c r="E901" s="16"/>
      <c r="F901" s="209"/>
      <c r="G901" s="209"/>
      <c r="H901" s="209"/>
      <c r="I901" s="209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 spans="2:24">
      <c r="B902" s="16"/>
      <c r="C902" s="16"/>
      <c r="D902" s="16"/>
      <c r="E902" s="16"/>
      <c r="F902" s="209"/>
      <c r="G902" s="209"/>
      <c r="H902" s="209"/>
      <c r="I902" s="209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 spans="2:24">
      <c r="B903" s="16"/>
      <c r="C903" s="16"/>
      <c r="D903" s="16"/>
      <c r="E903" s="16"/>
      <c r="F903" s="209"/>
      <c r="G903" s="209"/>
      <c r="H903" s="209"/>
      <c r="I903" s="209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 spans="2:24">
      <c r="B904" s="16"/>
      <c r="C904" s="16"/>
      <c r="D904" s="16"/>
      <c r="E904" s="16"/>
      <c r="F904" s="209"/>
      <c r="G904" s="209"/>
      <c r="H904" s="209"/>
      <c r="I904" s="209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 spans="2:24">
      <c r="B905" s="16"/>
      <c r="C905" s="16"/>
      <c r="D905" s="16"/>
      <c r="E905" s="16"/>
      <c r="F905" s="209"/>
      <c r="G905" s="209"/>
      <c r="H905" s="209"/>
      <c r="I905" s="209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 spans="2:24">
      <c r="B906" s="16"/>
      <c r="C906" s="16"/>
      <c r="D906" s="16"/>
      <c r="E906" s="16"/>
      <c r="F906" s="209"/>
      <c r="G906" s="209"/>
      <c r="H906" s="209"/>
      <c r="I906" s="209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 spans="2:24">
      <c r="B907" s="16"/>
      <c r="C907" s="16"/>
      <c r="D907" s="16"/>
      <c r="E907" s="16"/>
      <c r="F907" s="209"/>
      <c r="G907" s="209"/>
      <c r="H907" s="209"/>
      <c r="I907" s="209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 spans="2:24">
      <c r="B908" s="16"/>
      <c r="C908" s="16"/>
      <c r="D908" s="16"/>
      <c r="E908" s="16"/>
      <c r="F908" s="209"/>
      <c r="G908" s="209"/>
      <c r="H908" s="209"/>
      <c r="I908" s="209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 spans="2:24">
      <c r="B909" s="16"/>
      <c r="C909" s="16"/>
      <c r="D909" s="16"/>
      <c r="E909" s="16"/>
      <c r="F909" s="209"/>
      <c r="G909" s="209"/>
      <c r="H909" s="209"/>
      <c r="I909" s="209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 spans="2:24">
      <c r="B910" s="16"/>
      <c r="C910" s="16"/>
      <c r="D910" s="16"/>
      <c r="E910" s="16"/>
      <c r="F910" s="209"/>
      <c r="G910" s="209"/>
      <c r="H910" s="209"/>
      <c r="I910" s="209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 spans="2:24">
      <c r="B911" s="16"/>
      <c r="C911" s="16"/>
      <c r="D911" s="16"/>
      <c r="E911" s="16"/>
      <c r="F911" s="209"/>
      <c r="G911" s="209"/>
      <c r="H911" s="209"/>
      <c r="I911" s="209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 spans="2:24">
      <c r="B912" s="16"/>
      <c r="C912" s="16"/>
      <c r="D912" s="16"/>
      <c r="E912" s="16"/>
      <c r="F912" s="209"/>
      <c r="G912" s="209"/>
      <c r="H912" s="209"/>
      <c r="I912" s="209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 spans="2:24">
      <c r="B913" s="16"/>
      <c r="C913" s="16"/>
      <c r="D913" s="16"/>
      <c r="E913" s="16"/>
      <c r="F913" s="209"/>
      <c r="G913" s="209"/>
      <c r="H913" s="209"/>
      <c r="I913" s="209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 spans="2:24">
      <c r="B914" s="16"/>
      <c r="C914" s="16"/>
      <c r="D914" s="16"/>
      <c r="E914" s="16"/>
      <c r="F914" s="209"/>
      <c r="G914" s="209"/>
      <c r="H914" s="209"/>
      <c r="I914" s="209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 spans="2:24">
      <c r="B915" s="16"/>
      <c r="C915" s="16"/>
      <c r="D915" s="16"/>
      <c r="E915" s="16"/>
      <c r="F915" s="209"/>
      <c r="G915" s="209"/>
      <c r="H915" s="209"/>
      <c r="I915" s="209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 spans="2:24">
      <c r="B916" s="16"/>
      <c r="C916" s="16"/>
      <c r="D916" s="16"/>
      <c r="E916" s="16"/>
      <c r="F916" s="209"/>
      <c r="G916" s="209"/>
      <c r="H916" s="209"/>
      <c r="I916" s="209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 spans="2:24">
      <c r="B917" s="16"/>
      <c r="C917" s="16"/>
      <c r="D917" s="16"/>
      <c r="E917" s="16"/>
      <c r="F917" s="209"/>
      <c r="G917" s="209"/>
      <c r="H917" s="209"/>
      <c r="I917" s="209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 spans="2:24">
      <c r="B918" s="16"/>
      <c r="C918" s="16"/>
      <c r="D918" s="16"/>
      <c r="E918" s="16"/>
      <c r="F918" s="209"/>
      <c r="G918" s="209"/>
      <c r="H918" s="209"/>
      <c r="I918" s="209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 spans="2:24">
      <c r="B919" s="16"/>
      <c r="C919" s="16"/>
      <c r="D919" s="16"/>
      <c r="E919" s="16"/>
      <c r="F919" s="209"/>
      <c r="G919" s="209"/>
      <c r="H919" s="209"/>
      <c r="I919" s="209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 spans="2:24">
      <c r="B920" s="16"/>
      <c r="C920" s="16"/>
      <c r="D920" s="16"/>
      <c r="E920" s="16"/>
      <c r="F920" s="209"/>
      <c r="G920" s="209"/>
      <c r="H920" s="209"/>
      <c r="I920" s="209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 spans="2:24">
      <c r="B921" s="16"/>
      <c r="C921" s="16"/>
      <c r="D921" s="16"/>
      <c r="E921" s="16"/>
      <c r="F921" s="209"/>
      <c r="G921" s="209"/>
      <c r="H921" s="209"/>
      <c r="I921" s="209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 spans="2:24">
      <c r="B922" s="16"/>
      <c r="C922" s="16"/>
      <c r="D922" s="16"/>
      <c r="E922" s="16"/>
      <c r="F922" s="209"/>
      <c r="G922" s="209"/>
      <c r="H922" s="209"/>
      <c r="I922" s="209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 spans="2:24">
      <c r="B923" s="16"/>
      <c r="C923" s="16"/>
      <c r="D923" s="16"/>
      <c r="E923" s="16"/>
      <c r="F923" s="209"/>
      <c r="G923" s="209"/>
      <c r="H923" s="209"/>
      <c r="I923" s="209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 spans="2:24">
      <c r="B924" s="16"/>
      <c r="C924" s="16"/>
      <c r="D924" s="16"/>
      <c r="E924" s="16"/>
      <c r="F924" s="209"/>
      <c r="G924" s="209"/>
      <c r="H924" s="209"/>
      <c r="I924" s="209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 spans="2:24">
      <c r="B925" s="16"/>
      <c r="C925" s="16"/>
      <c r="D925" s="16"/>
      <c r="E925" s="16"/>
      <c r="F925" s="209"/>
      <c r="G925" s="209"/>
      <c r="H925" s="209"/>
      <c r="I925" s="209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 spans="2:24">
      <c r="B926" s="16"/>
      <c r="C926" s="16"/>
      <c r="D926" s="16"/>
      <c r="E926" s="16"/>
      <c r="F926" s="209"/>
      <c r="G926" s="209"/>
      <c r="H926" s="209"/>
      <c r="I926" s="209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 spans="2:24">
      <c r="B927" s="16"/>
      <c r="C927" s="16"/>
      <c r="D927" s="16"/>
      <c r="E927" s="16"/>
      <c r="F927" s="209"/>
      <c r="G927" s="209"/>
      <c r="H927" s="209"/>
      <c r="I927" s="209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 spans="2:24">
      <c r="B928" s="16"/>
      <c r="C928" s="16"/>
      <c r="D928" s="16"/>
      <c r="E928" s="16"/>
      <c r="F928" s="209"/>
      <c r="G928" s="209"/>
      <c r="H928" s="209"/>
      <c r="I928" s="209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 spans="2:24">
      <c r="B929" s="16"/>
      <c r="C929" s="16"/>
      <c r="D929" s="16"/>
      <c r="E929" s="16"/>
      <c r="F929" s="209"/>
      <c r="G929" s="209"/>
      <c r="H929" s="209"/>
      <c r="I929" s="209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 spans="2:24">
      <c r="B930" s="16"/>
      <c r="C930" s="16"/>
      <c r="D930" s="16"/>
      <c r="E930" s="16"/>
      <c r="F930" s="209"/>
      <c r="G930" s="209"/>
      <c r="H930" s="209"/>
      <c r="I930" s="209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 spans="2:24">
      <c r="B931" s="16"/>
      <c r="C931" s="16"/>
      <c r="D931" s="16"/>
      <c r="E931" s="16"/>
      <c r="F931" s="209"/>
      <c r="G931" s="209"/>
      <c r="H931" s="209"/>
      <c r="I931" s="209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 spans="2:24">
      <c r="B932" s="16"/>
      <c r="C932" s="16"/>
      <c r="D932" s="16"/>
      <c r="E932" s="16"/>
      <c r="F932" s="209"/>
      <c r="G932" s="209"/>
      <c r="H932" s="209"/>
      <c r="I932" s="209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 spans="2:24">
      <c r="B933" s="16"/>
      <c r="C933" s="16"/>
      <c r="D933" s="16"/>
      <c r="E933" s="16"/>
      <c r="F933" s="209"/>
      <c r="G933" s="209"/>
      <c r="H933" s="209"/>
      <c r="I933" s="209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 spans="2:24">
      <c r="B934" s="16"/>
      <c r="C934" s="16"/>
      <c r="D934" s="16"/>
      <c r="E934" s="16"/>
      <c r="F934" s="209"/>
      <c r="G934" s="209"/>
      <c r="H934" s="209"/>
      <c r="I934" s="209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 spans="2:24">
      <c r="B935" s="16"/>
      <c r="C935" s="16"/>
      <c r="D935" s="16"/>
      <c r="E935" s="16"/>
      <c r="F935" s="209"/>
      <c r="G935" s="209"/>
      <c r="H935" s="209"/>
      <c r="I935" s="209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 spans="2:24">
      <c r="B936" s="16"/>
      <c r="C936" s="16"/>
      <c r="D936" s="16"/>
      <c r="E936" s="16"/>
      <c r="F936" s="209"/>
      <c r="G936" s="209"/>
      <c r="H936" s="209"/>
      <c r="I936" s="209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 spans="2:24">
      <c r="B937" s="16"/>
      <c r="C937" s="16"/>
      <c r="D937" s="16"/>
      <c r="E937" s="16"/>
      <c r="F937" s="209"/>
      <c r="G937" s="209"/>
      <c r="H937" s="209"/>
      <c r="I937" s="209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 spans="2:24">
      <c r="B938" s="16"/>
      <c r="C938" s="16"/>
      <c r="D938" s="16"/>
      <c r="E938" s="16"/>
      <c r="F938" s="209"/>
      <c r="G938" s="209"/>
      <c r="H938" s="209"/>
      <c r="I938" s="209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 spans="2:24">
      <c r="B939" s="16"/>
      <c r="C939" s="16"/>
      <c r="D939" s="16"/>
      <c r="E939" s="16"/>
      <c r="F939" s="209"/>
      <c r="G939" s="209"/>
      <c r="H939" s="209"/>
      <c r="I939" s="209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 spans="2:24">
      <c r="B940" s="16"/>
      <c r="C940" s="16"/>
      <c r="D940" s="16"/>
      <c r="E940" s="16"/>
      <c r="F940" s="209"/>
      <c r="G940" s="209"/>
      <c r="H940" s="209"/>
      <c r="I940" s="209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 spans="2:24">
      <c r="B941" s="16"/>
      <c r="C941" s="16"/>
      <c r="D941" s="16"/>
      <c r="E941" s="16"/>
      <c r="F941" s="209"/>
      <c r="G941" s="209"/>
      <c r="H941" s="209"/>
      <c r="I941" s="209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 spans="2:24">
      <c r="B942" s="16"/>
      <c r="C942" s="16"/>
      <c r="D942" s="16"/>
      <c r="E942" s="16"/>
      <c r="F942" s="209"/>
      <c r="G942" s="209"/>
      <c r="H942" s="209"/>
      <c r="I942" s="209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 spans="2:24">
      <c r="B943" s="16"/>
      <c r="C943" s="16"/>
      <c r="D943" s="16"/>
      <c r="E943" s="16"/>
      <c r="F943" s="209"/>
      <c r="G943" s="209"/>
      <c r="H943" s="209"/>
      <c r="I943" s="209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 spans="2:24">
      <c r="B944" s="16"/>
      <c r="C944" s="16"/>
      <c r="D944" s="16"/>
      <c r="E944" s="16"/>
      <c r="F944" s="209"/>
      <c r="G944" s="209"/>
      <c r="H944" s="209"/>
      <c r="I944" s="209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 spans="2:24">
      <c r="B945" s="16"/>
      <c r="C945" s="16"/>
      <c r="D945" s="16"/>
      <c r="E945" s="16"/>
      <c r="F945" s="209"/>
      <c r="G945" s="209"/>
      <c r="H945" s="209"/>
      <c r="I945" s="209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 spans="2:24">
      <c r="B946" s="16"/>
      <c r="C946" s="16"/>
      <c r="D946" s="16"/>
      <c r="E946" s="16"/>
      <c r="F946" s="209"/>
      <c r="G946" s="209"/>
      <c r="H946" s="209"/>
      <c r="I946" s="209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 spans="2:24">
      <c r="B947" s="16"/>
      <c r="C947" s="16"/>
      <c r="D947" s="16"/>
      <c r="E947" s="16"/>
      <c r="F947" s="209"/>
      <c r="G947" s="209"/>
      <c r="H947" s="209"/>
      <c r="I947" s="209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 spans="2:24">
      <c r="B948" s="16"/>
      <c r="C948" s="16"/>
      <c r="D948" s="16"/>
      <c r="E948" s="16"/>
      <c r="F948" s="209"/>
      <c r="G948" s="209"/>
      <c r="H948" s="209"/>
      <c r="I948" s="209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 spans="2:24">
      <c r="B949" s="16"/>
      <c r="C949" s="16"/>
      <c r="D949" s="16"/>
      <c r="E949" s="16"/>
      <c r="F949" s="209"/>
      <c r="G949" s="209"/>
      <c r="H949" s="209"/>
      <c r="I949" s="209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 spans="2:24">
      <c r="B950" s="16"/>
      <c r="C950" s="16"/>
      <c r="D950" s="16"/>
      <c r="E950" s="16"/>
      <c r="F950" s="209"/>
      <c r="G950" s="209"/>
      <c r="H950" s="209"/>
      <c r="I950" s="209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 spans="2:24">
      <c r="B951" s="16"/>
      <c r="C951" s="16"/>
      <c r="D951" s="16"/>
      <c r="E951" s="16"/>
      <c r="F951" s="209"/>
      <c r="G951" s="209"/>
      <c r="H951" s="209"/>
      <c r="I951" s="209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 spans="2:24">
      <c r="B952" s="16"/>
      <c r="C952" s="16"/>
      <c r="D952" s="16"/>
      <c r="E952" s="16"/>
      <c r="F952" s="209"/>
      <c r="G952" s="209"/>
      <c r="H952" s="209"/>
      <c r="I952" s="209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 spans="2:24">
      <c r="B953" s="16"/>
      <c r="C953" s="16"/>
      <c r="D953" s="16"/>
      <c r="E953" s="16"/>
      <c r="F953" s="209"/>
      <c r="G953" s="209"/>
      <c r="H953" s="209"/>
      <c r="I953" s="209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 spans="2:24">
      <c r="B954" s="16"/>
      <c r="C954" s="16"/>
      <c r="D954" s="16"/>
      <c r="E954" s="16"/>
      <c r="F954" s="209"/>
      <c r="G954" s="209"/>
      <c r="H954" s="209"/>
      <c r="I954" s="209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 spans="2:24">
      <c r="B955" s="16"/>
      <c r="C955" s="16"/>
      <c r="D955" s="16"/>
      <c r="E955" s="16"/>
      <c r="F955" s="209"/>
      <c r="G955" s="209"/>
      <c r="H955" s="209"/>
      <c r="I955" s="209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 spans="2:24">
      <c r="B956" s="16"/>
      <c r="C956" s="16"/>
      <c r="D956" s="16"/>
      <c r="E956" s="16"/>
      <c r="F956" s="209"/>
      <c r="G956" s="209"/>
      <c r="H956" s="209"/>
      <c r="I956" s="209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 spans="2:24">
      <c r="B957" s="16"/>
      <c r="C957" s="16"/>
      <c r="D957" s="16"/>
      <c r="E957" s="16"/>
      <c r="F957" s="209"/>
      <c r="G957" s="209"/>
      <c r="H957" s="209"/>
      <c r="I957" s="209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 spans="2:24">
      <c r="B958" s="16"/>
      <c r="C958" s="16"/>
      <c r="D958" s="16"/>
      <c r="E958" s="16"/>
      <c r="F958" s="209"/>
      <c r="G958" s="209"/>
      <c r="H958" s="209"/>
      <c r="I958" s="209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 spans="2:24">
      <c r="B959" s="16"/>
      <c r="C959" s="16"/>
      <c r="D959" s="16"/>
      <c r="E959" s="16"/>
      <c r="F959" s="209"/>
      <c r="G959" s="209"/>
      <c r="H959" s="209"/>
      <c r="I959" s="209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 spans="2:24">
      <c r="B960" s="16"/>
      <c r="C960" s="16"/>
      <c r="D960" s="16"/>
      <c r="E960" s="16"/>
      <c r="F960" s="209"/>
      <c r="G960" s="209"/>
      <c r="H960" s="209"/>
      <c r="I960" s="209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 spans="2:24">
      <c r="B961" s="16"/>
      <c r="C961" s="16"/>
      <c r="D961" s="16"/>
      <c r="E961" s="16"/>
      <c r="F961" s="209"/>
      <c r="G961" s="209"/>
      <c r="H961" s="209"/>
      <c r="I961" s="209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 spans="2:24">
      <c r="B962" s="16"/>
      <c r="C962" s="16"/>
      <c r="D962" s="16"/>
      <c r="E962" s="16"/>
      <c r="F962" s="209"/>
      <c r="G962" s="209"/>
      <c r="H962" s="209"/>
      <c r="I962" s="209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 spans="2:24">
      <c r="B963" s="16"/>
      <c r="C963" s="16"/>
      <c r="D963" s="16"/>
      <c r="E963" s="16"/>
      <c r="F963" s="209"/>
      <c r="G963" s="209"/>
      <c r="H963" s="209"/>
      <c r="I963" s="209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 spans="2:24">
      <c r="B964" s="16"/>
      <c r="C964" s="16"/>
      <c r="D964" s="16"/>
      <c r="E964" s="16"/>
      <c r="F964" s="209"/>
      <c r="G964" s="209"/>
      <c r="H964" s="209"/>
      <c r="I964" s="209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 spans="2:24">
      <c r="B965" s="16"/>
      <c r="C965" s="16"/>
      <c r="D965" s="16"/>
      <c r="E965" s="16"/>
      <c r="F965" s="209"/>
      <c r="G965" s="209"/>
      <c r="H965" s="209"/>
      <c r="I965" s="209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 spans="2:24">
      <c r="B966" s="16"/>
      <c r="C966" s="16"/>
      <c r="D966" s="16"/>
      <c r="E966" s="16"/>
      <c r="F966" s="209"/>
      <c r="G966" s="209"/>
      <c r="H966" s="209"/>
      <c r="I966" s="209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 spans="2:24">
      <c r="B967" s="16"/>
      <c r="C967" s="16"/>
      <c r="D967" s="16"/>
      <c r="E967" s="16"/>
      <c r="F967" s="209"/>
      <c r="G967" s="209"/>
      <c r="H967" s="209"/>
      <c r="I967" s="209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 spans="2:24">
      <c r="B968" s="16"/>
      <c r="C968" s="16"/>
      <c r="D968" s="16"/>
      <c r="E968" s="16"/>
      <c r="F968" s="209"/>
      <c r="G968" s="209"/>
      <c r="H968" s="209"/>
      <c r="I968" s="209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 spans="2:24">
      <c r="B969" s="16"/>
      <c r="C969" s="16"/>
      <c r="D969" s="16"/>
      <c r="E969" s="16"/>
      <c r="F969" s="209"/>
      <c r="G969" s="209"/>
      <c r="H969" s="209"/>
      <c r="I969" s="209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 spans="2:24">
      <c r="B970" s="16"/>
      <c r="C970" s="16"/>
      <c r="D970" s="16"/>
      <c r="E970" s="16"/>
      <c r="F970" s="209"/>
      <c r="G970" s="209"/>
      <c r="H970" s="209"/>
      <c r="I970" s="209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 spans="2:24">
      <c r="B971" s="16"/>
      <c r="C971" s="16"/>
      <c r="D971" s="16"/>
      <c r="E971" s="16"/>
      <c r="F971" s="209"/>
      <c r="G971" s="209"/>
      <c r="H971" s="209"/>
      <c r="I971" s="209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 spans="2:24">
      <c r="B972" s="16"/>
      <c r="C972" s="16"/>
      <c r="D972" s="16"/>
      <c r="E972" s="16"/>
      <c r="F972" s="209"/>
      <c r="G972" s="209"/>
      <c r="H972" s="209"/>
      <c r="I972" s="209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</sheetData>
  <mergeCells count="59">
    <mergeCell ref="B47:C47"/>
    <mergeCell ref="B48:C48"/>
    <mergeCell ref="B49:C49"/>
    <mergeCell ref="B50:C50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C1"/>
    <mergeCell ref="B3:C3"/>
    <mergeCell ref="B4:C4"/>
    <mergeCell ref="B5:C5"/>
    <mergeCell ref="B6:C6"/>
    <mergeCell ref="B58:C58"/>
    <mergeCell ref="B59:C59"/>
    <mergeCell ref="B60:C60"/>
    <mergeCell ref="B51:C51"/>
    <mergeCell ref="B52:C52"/>
    <mergeCell ref="B53:C53"/>
    <mergeCell ref="B54:C54"/>
    <mergeCell ref="B55:C55"/>
    <mergeCell ref="B56:C56"/>
    <mergeCell ref="B57:C57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73"/>
  <sheetViews>
    <sheetView topLeftCell="A43" workbookViewId="0">
      <selection activeCell="A52" sqref="A52"/>
    </sheetView>
  </sheetViews>
  <sheetFormatPr defaultColWidth="12.5703125" defaultRowHeight="15" customHeight="1"/>
  <cols>
    <col min="1" max="1" width="31.28515625" bestFit="1" customWidth="1"/>
    <col min="3" max="3" width="2.5703125" customWidth="1"/>
    <col min="4" max="4" width="26.28515625" customWidth="1"/>
    <col min="6" max="9" width="12.5703125" style="191"/>
  </cols>
  <sheetData>
    <row r="1" spans="1:24">
      <c r="A1" s="235" t="s">
        <v>225</v>
      </c>
      <c r="B1" s="225" t="s">
        <v>28</v>
      </c>
      <c r="C1" s="216"/>
      <c r="E1" s="168" t="s">
        <v>29</v>
      </c>
      <c r="F1" s="185" t="s">
        <v>5</v>
      </c>
      <c r="G1" s="185" t="s">
        <v>6</v>
      </c>
      <c r="H1" s="185" t="s">
        <v>7</v>
      </c>
      <c r="I1" s="185" t="s">
        <v>8</v>
      </c>
      <c r="J1" s="168" t="s">
        <v>9</v>
      </c>
      <c r="K1" s="168" t="s">
        <v>10</v>
      </c>
      <c r="L1" s="17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>
      <c r="B2" s="18"/>
      <c r="C2" s="18"/>
      <c r="D2" s="18"/>
      <c r="E2" s="18"/>
      <c r="F2" s="205"/>
      <c r="G2" s="205"/>
      <c r="H2" s="205"/>
      <c r="I2" s="205"/>
      <c r="J2" s="18"/>
      <c r="K2" s="18"/>
      <c r="L2" s="19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>
      <c r="A3" s="236" t="s">
        <v>238</v>
      </c>
      <c r="B3" s="228">
        <v>2</v>
      </c>
      <c r="C3" s="229"/>
      <c r="D3" s="20" t="s">
        <v>40</v>
      </c>
      <c r="E3" s="21">
        <v>0</v>
      </c>
      <c r="F3" s="210">
        <v>0</v>
      </c>
      <c r="G3" s="210">
        <v>0</v>
      </c>
      <c r="H3" s="210">
        <v>0</v>
      </c>
      <c r="I3" s="206">
        <v>0</v>
      </c>
      <c r="J3" s="22">
        <v>0</v>
      </c>
      <c r="K3" s="22">
        <v>0</v>
      </c>
      <c r="L3" s="23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>
      <c r="B4" s="223"/>
      <c r="C4" s="224"/>
      <c r="D4" s="20" t="s">
        <v>33</v>
      </c>
      <c r="E4" s="21">
        <v>0</v>
      </c>
      <c r="F4" s="210">
        <v>0</v>
      </c>
      <c r="G4" s="210">
        <v>0</v>
      </c>
      <c r="H4" s="210">
        <v>0</v>
      </c>
      <c r="I4" s="206">
        <v>0</v>
      </c>
      <c r="J4" s="22">
        <v>0</v>
      </c>
      <c r="K4" s="22">
        <v>0</v>
      </c>
      <c r="L4" s="23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4">
      <c r="B5" s="223"/>
      <c r="C5" s="224"/>
      <c r="D5" s="20" t="s">
        <v>50</v>
      </c>
      <c r="E5" s="21">
        <v>0</v>
      </c>
      <c r="F5" s="210">
        <v>0</v>
      </c>
      <c r="G5" s="210">
        <v>0</v>
      </c>
      <c r="H5" s="210">
        <v>0</v>
      </c>
      <c r="I5" s="206">
        <v>0</v>
      </c>
      <c r="J5" s="22">
        <v>0</v>
      </c>
      <c r="K5" s="22">
        <v>0</v>
      </c>
      <c r="L5" s="23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>
      <c r="B6" s="217"/>
      <c r="C6" s="218"/>
      <c r="D6" s="20" t="s">
        <v>62</v>
      </c>
      <c r="E6" s="21">
        <v>451</v>
      </c>
      <c r="F6" s="210">
        <v>0</v>
      </c>
      <c r="G6" s="210">
        <v>2580</v>
      </c>
      <c r="H6" s="210">
        <v>5920</v>
      </c>
      <c r="I6" s="206">
        <v>429</v>
      </c>
      <c r="J6" s="22">
        <v>0</v>
      </c>
      <c r="K6" s="22">
        <v>429</v>
      </c>
      <c r="L6" s="23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4">
      <c r="B7" s="217"/>
      <c r="C7" s="218"/>
      <c r="D7" s="20" t="s">
        <v>49</v>
      </c>
      <c r="E7" s="21">
        <v>231</v>
      </c>
      <c r="F7" s="210">
        <v>0</v>
      </c>
      <c r="G7" s="210">
        <v>1320</v>
      </c>
      <c r="H7" s="210">
        <v>3028</v>
      </c>
      <c r="I7" s="206">
        <v>219</v>
      </c>
      <c r="J7" s="22">
        <v>0</v>
      </c>
      <c r="K7" s="22">
        <v>219</v>
      </c>
      <c r="L7" s="23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>
      <c r="B8" s="217"/>
      <c r="C8" s="218"/>
      <c r="D8" s="181" t="s">
        <v>61</v>
      </c>
      <c r="E8" s="21">
        <v>25</v>
      </c>
      <c r="F8" s="210">
        <v>0</v>
      </c>
      <c r="G8" s="210">
        <v>143</v>
      </c>
      <c r="H8" s="210">
        <v>328</v>
      </c>
      <c r="I8" s="206">
        <v>24</v>
      </c>
      <c r="J8" s="22">
        <v>0</v>
      </c>
      <c r="K8" s="22">
        <v>24</v>
      </c>
      <c r="L8" s="23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4">
      <c r="B9" s="217"/>
      <c r="C9" s="218"/>
      <c r="D9" s="20" t="s">
        <v>63</v>
      </c>
      <c r="E9" s="21">
        <v>262</v>
      </c>
      <c r="F9" s="210">
        <v>0</v>
      </c>
      <c r="G9" s="210">
        <v>1498</v>
      </c>
      <c r="H9" s="210">
        <v>3436</v>
      </c>
      <c r="I9" s="206">
        <v>249</v>
      </c>
      <c r="J9" s="22">
        <v>0</v>
      </c>
      <c r="K9" s="22">
        <v>249</v>
      </c>
      <c r="L9" s="23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>
      <c r="B10" s="217"/>
      <c r="C10" s="218"/>
      <c r="D10" s="20" t="s">
        <v>41</v>
      </c>
      <c r="E10" s="21">
        <v>85</v>
      </c>
      <c r="F10" s="210">
        <v>0</v>
      </c>
      <c r="G10" s="210">
        <v>486</v>
      </c>
      <c r="H10" s="210">
        <v>1115</v>
      </c>
      <c r="I10" s="206">
        <v>81</v>
      </c>
      <c r="J10" s="22">
        <v>0</v>
      </c>
      <c r="K10" s="22">
        <v>81</v>
      </c>
      <c r="L10" s="23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 s="178" customFormat="1">
      <c r="A11" s="237" t="s">
        <v>239</v>
      </c>
      <c r="B11" s="219">
        <v>4</v>
      </c>
      <c r="C11" s="220"/>
      <c r="D11" s="173" t="s">
        <v>50</v>
      </c>
      <c r="E11" s="174">
        <v>0</v>
      </c>
      <c r="F11" s="210">
        <v>0</v>
      </c>
      <c r="G11" s="210">
        <v>0</v>
      </c>
      <c r="H11" s="210">
        <v>0</v>
      </c>
      <c r="I11" s="206">
        <v>0</v>
      </c>
      <c r="J11" s="175">
        <v>0</v>
      </c>
      <c r="K11" s="175">
        <v>0</v>
      </c>
      <c r="L11" s="176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</row>
    <row r="12" spans="1:24" s="178" customFormat="1">
      <c r="B12" s="226"/>
      <c r="C12" s="227"/>
      <c r="D12" s="173" t="s">
        <v>41</v>
      </c>
      <c r="E12" s="174">
        <v>44</v>
      </c>
      <c r="F12" s="210">
        <v>0</v>
      </c>
      <c r="G12" s="210">
        <v>254</v>
      </c>
      <c r="H12" s="210">
        <v>630</v>
      </c>
      <c r="I12" s="206">
        <v>40</v>
      </c>
      <c r="J12" s="175">
        <v>0</v>
      </c>
      <c r="K12" s="175">
        <v>40</v>
      </c>
      <c r="L12" s="176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</row>
    <row r="13" spans="1:24" s="178" customFormat="1">
      <c r="B13" s="226"/>
      <c r="C13" s="227"/>
      <c r="D13" s="182" t="s">
        <v>61</v>
      </c>
      <c r="E13" s="174">
        <v>39</v>
      </c>
      <c r="F13" s="210">
        <v>0</v>
      </c>
      <c r="G13" s="210">
        <v>224</v>
      </c>
      <c r="H13" s="210">
        <v>555</v>
      </c>
      <c r="I13" s="206">
        <v>35</v>
      </c>
      <c r="J13" s="175">
        <v>0</v>
      </c>
      <c r="K13" s="175">
        <v>35</v>
      </c>
      <c r="L13" s="176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</row>
    <row r="14" spans="1:24">
      <c r="A14" s="236" t="s">
        <v>240</v>
      </c>
      <c r="B14" s="228">
        <v>2</v>
      </c>
      <c r="C14" s="229"/>
      <c r="D14" s="20" t="s">
        <v>64</v>
      </c>
      <c r="E14" s="21">
        <v>176</v>
      </c>
      <c r="F14" s="210">
        <v>98</v>
      </c>
      <c r="G14" s="210">
        <v>2141</v>
      </c>
      <c r="H14" s="210">
        <v>2408</v>
      </c>
      <c r="I14" s="206">
        <v>168</v>
      </c>
      <c r="J14" s="22">
        <v>0</v>
      </c>
      <c r="K14" s="22">
        <v>168</v>
      </c>
      <c r="L14" s="23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>
      <c r="B15" s="223"/>
      <c r="C15" s="224"/>
      <c r="D15" s="20" t="s">
        <v>65</v>
      </c>
      <c r="E15" s="21">
        <v>171</v>
      </c>
      <c r="F15" s="210">
        <v>-537</v>
      </c>
      <c r="G15" s="210">
        <v>1525</v>
      </c>
      <c r="H15" s="210">
        <v>1716</v>
      </c>
      <c r="I15" s="206">
        <v>68</v>
      </c>
      <c r="J15" s="22">
        <v>0</v>
      </c>
      <c r="K15" s="22">
        <v>68</v>
      </c>
      <c r="L15" s="23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>
      <c r="B16" s="223"/>
      <c r="C16" s="224"/>
      <c r="D16" s="20" t="s">
        <v>40</v>
      </c>
      <c r="E16" s="21">
        <v>0</v>
      </c>
      <c r="F16" s="210">
        <v>0</v>
      </c>
      <c r="G16" s="210">
        <v>0</v>
      </c>
      <c r="H16" s="210">
        <v>0</v>
      </c>
      <c r="I16" s="206">
        <v>0</v>
      </c>
      <c r="J16" s="22">
        <v>0</v>
      </c>
      <c r="K16" s="22">
        <v>0</v>
      </c>
      <c r="L16" s="23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 s="178" customFormat="1">
      <c r="A17" s="237" t="s">
        <v>241</v>
      </c>
      <c r="B17" s="230">
        <v>16</v>
      </c>
      <c r="C17" s="227"/>
      <c r="D17" s="173" t="s">
        <v>66</v>
      </c>
      <c r="E17" s="174">
        <v>0</v>
      </c>
      <c r="F17" s="210">
        <v>0</v>
      </c>
      <c r="G17" s="210">
        <v>0</v>
      </c>
      <c r="H17" s="210">
        <v>0</v>
      </c>
      <c r="I17" s="206">
        <v>0</v>
      </c>
      <c r="J17" s="174">
        <v>0</v>
      </c>
      <c r="K17" s="174">
        <v>0</v>
      </c>
      <c r="L17" s="176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</row>
    <row r="18" spans="1:24">
      <c r="A18" s="236" t="s">
        <v>232</v>
      </c>
      <c r="B18" s="231">
        <v>4</v>
      </c>
      <c r="C18" s="216"/>
      <c r="D18" s="20" t="s">
        <v>67</v>
      </c>
      <c r="E18" s="21">
        <v>0</v>
      </c>
      <c r="F18" s="210">
        <v>9461</v>
      </c>
      <c r="G18" s="210">
        <v>1846</v>
      </c>
      <c r="H18" s="210">
        <v>9366</v>
      </c>
      <c r="I18" s="206">
        <v>1552</v>
      </c>
      <c r="J18" s="22">
        <v>0</v>
      </c>
      <c r="K18" s="22">
        <v>1552</v>
      </c>
      <c r="L18" s="23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s="178" customFormat="1">
      <c r="A19" s="237" t="s">
        <v>242</v>
      </c>
      <c r="B19" s="219">
        <v>2</v>
      </c>
      <c r="C19" s="220"/>
      <c r="D19" s="173" t="s">
        <v>33</v>
      </c>
      <c r="E19" s="174">
        <v>0</v>
      </c>
      <c r="F19" s="210">
        <v>0</v>
      </c>
      <c r="G19" s="210">
        <v>0</v>
      </c>
      <c r="H19" s="210">
        <v>0</v>
      </c>
      <c r="I19" s="206">
        <v>0</v>
      </c>
      <c r="J19" s="175">
        <v>0</v>
      </c>
      <c r="K19" s="175">
        <v>0</v>
      </c>
      <c r="L19" s="176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</row>
    <row r="20" spans="1:24" s="178" customFormat="1">
      <c r="B20" s="226"/>
      <c r="C20" s="227"/>
      <c r="D20" s="173" t="s">
        <v>39</v>
      </c>
      <c r="E20" s="174">
        <v>29</v>
      </c>
      <c r="F20" s="210">
        <v>19</v>
      </c>
      <c r="G20" s="210">
        <v>164</v>
      </c>
      <c r="H20" s="210">
        <v>377</v>
      </c>
      <c r="I20" s="206">
        <v>26</v>
      </c>
      <c r="J20" s="175">
        <v>0</v>
      </c>
      <c r="K20" s="175">
        <v>26</v>
      </c>
      <c r="L20" s="176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</row>
    <row r="21" spans="1:24" s="178" customFormat="1">
      <c r="B21" s="226"/>
      <c r="C21" s="227"/>
      <c r="D21" s="173" t="s">
        <v>30</v>
      </c>
      <c r="E21" s="174">
        <v>399</v>
      </c>
      <c r="F21" s="210">
        <v>262</v>
      </c>
      <c r="G21" s="210">
        <v>2334</v>
      </c>
      <c r="H21" s="210">
        <v>5496</v>
      </c>
      <c r="I21" s="206">
        <v>399</v>
      </c>
      <c r="J21" s="175">
        <v>0</v>
      </c>
      <c r="K21" s="175">
        <v>399</v>
      </c>
      <c r="L21" s="176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</row>
    <row r="22" spans="1:24" s="178" customFormat="1">
      <c r="B22" s="226"/>
      <c r="C22" s="227"/>
      <c r="D22" s="173" t="s">
        <v>54</v>
      </c>
      <c r="E22" s="174">
        <v>58</v>
      </c>
      <c r="F22" s="210">
        <v>31</v>
      </c>
      <c r="G22" s="210">
        <v>336</v>
      </c>
      <c r="H22" s="210">
        <v>787</v>
      </c>
      <c r="I22" s="206">
        <v>56</v>
      </c>
      <c r="J22" s="175">
        <v>0</v>
      </c>
      <c r="K22" s="175">
        <v>56</v>
      </c>
      <c r="L22" s="176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</row>
    <row r="23" spans="1:24" s="178" customFormat="1">
      <c r="B23" s="226"/>
      <c r="C23" s="227"/>
      <c r="D23" s="173" t="s">
        <v>68</v>
      </c>
      <c r="E23" s="174">
        <v>0</v>
      </c>
      <c r="F23" s="210">
        <v>0</v>
      </c>
      <c r="G23" s="210">
        <v>0</v>
      </c>
      <c r="H23" s="210">
        <v>0</v>
      </c>
      <c r="I23" s="206">
        <v>0</v>
      </c>
      <c r="J23" s="175">
        <v>0</v>
      </c>
      <c r="K23" s="175">
        <v>0</v>
      </c>
      <c r="L23" s="176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</row>
    <row r="24" spans="1:24" s="178" customFormat="1">
      <c r="B24" s="226"/>
      <c r="C24" s="227"/>
      <c r="D24" s="173" t="s">
        <v>69</v>
      </c>
      <c r="E24" s="174">
        <v>115</v>
      </c>
      <c r="F24" s="210">
        <v>-582</v>
      </c>
      <c r="G24" s="210">
        <v>545</v>
      </c>
      <c r="H24" s="210">
        <v>936</v>
      </c>
      <c r="I24" s="207">
        <v>9</v>
      </c>
      <c r="J24" s="175">
        <v>0</v>
      </c>
      <c r="K24" s="179">
        <v>9</v>
      </c>
      <c r="L24" s="176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</row>
    <row r="25" spans="1:24" s="178" customFormat="1">
      <c r="B25" s="221"/>
      <c r="C25" s="222"/>
      <c r="D25" s="173" t="s">
        <v>70</v>
      </c>
      <c r="E25" s="174">
        <v>63</v>
      </c>
      <c r="F25" s="210">
        <v>-514</v>
      </c>
      <c r="G25" s="210">
        <v>127</v>
      </c>
      <c r="H25" s="210">
        <v>315</v>
      </c>
      <c r="I25" s="207">
        <v>-27</v>
      </c>
      <c r="J25" s="175">
        <v>0</v>
      </c>
      <c r="K25" s="179">
        <v>-27</v>
      </c>
      <c r="L25" s="176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</row>
    <row r="26" spans="1:24">
      <c r="A26" s="236" t="s">
        <v>243</v>
      </c>
      <c r="B26" s="231">
        <v>4</v>
      </c>
      <c r="C26" s="216"/>
      <c r="D26" s="20" t="s">
        <v>65</v>
      </c>
      <c r="E26" s="21">
        <v>152</v>
      </c>
      <c r="F26" s="211">
        <v>-3035</v>
      </c>
      <c r="G26" s="210">
        <v>277</v>
      </c>
      <c r="H26" s="210">
        <v>687</v>
      </c>
      <c r="I26" s="207">
        <v>-314</v>
      </c>
      <c r="J26" s="24">
        <v>-314</v>
      </c>
      <c r="K26" s="22">
        <v>0</v>
      </c>
      <c r="L26" s="23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spans="1:24" s="178" customFormat="1">
      <c r="A27" s="237" t="s">
        <v>244</v>
      </c>
      <c r="B27" s="219">
        <v>4</v>
      </c>
      <c r="C27" s="220"/>
      <c r="D27" s="173" t="s">
        <v>71</v>
      </c>
      <c r="E27" s="180">
        <v>0</v>
      </c>
      <c r="F27" s="211">
        <v>-1054</v>
      </c>
      <c r="G27" s="211">
        <v>-421</v>
      </c>
      <c r="H27" s="211">
        <v>-1044</v>
      </c>
      <c r="I27" s="207">
        <v>-169</v>
      </c>
      <c r="J27" s="175">
        <v>0</v>
      </c>
      <c r="K27" s="179">
        <v>-169</v>
      </c>
      <c r="L27" s="176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</row>
    <row r="28" spans="1:24">
      <c r="A28" s="236" t="s">
        <v>244</v>
      </c>
      <c r="B28" s="228">
        <v>4</v>
      </c>
      <c r="C28" s="229"/>
      <c r="D28" s="20" t="s">
        <v>72</v>
      </c>
      <c r="E28" s="21">
        <v>233</v>
      </c>
      <c r="F28" s="210">
        <v>0</v>
      </c>
      <c r="G28" s="210">
        <v>1331</v>
      </c>
      <c r="H28" s="210">
        <v>3054</v>
      </c>
      <c r="I28" s="206">
        <v>216</v>
      </c>
      <c r="J28" s="22">
        <v>216</v>
      </c>
      <c r="K28" s="22">
        <v>0</v>
      </c>
      <c r="L28" s="23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1:24" s="178" customFormat="1">
      <c r="A29" s="237" t="s">
        <v>245</v>
      </c>
      <c r="B29" s="219">
        <v>12</v>
      </c>
      <c r="C29" s="220"/>
      <c r="D29" s="173" t="s">
        <v>49</v>
      </c>
      <c r="E29" s="174">
        <v>92</v>
      </c>
      <c r="F29" s="210">
        <v>0</v>
      </c>
      <c r="G29" s="210">
        <v>527</v>
      </c>
      <c r="H29" s="210">
        <v>1210</v>
      </c>
      <c r="I29" s="206">
        <v>78</v>
      </c>
      <c r="J29" s="175">
        <v>78</v>
      </c>
      <c r="K29" s="175">
        <v>0</v>
      </c>
      <c r="L29" s="176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</row>
    <row r="30" spans="1:24" s="178" customFormat="1">
      <c r="B30" s="226"/>
      <c r="C30" s="227"/>
      <c r="D30" s="173" t="s">
        <v>30</v>
      </c>
      <c r="E30" s="174">
        <v>198</v>
      </c>
      <c r="F30" s="210">
        <v>0</v>
      </c>
      <c r="G30" s="210">
        <v>1132</v>
      </c>
      <c r="H30" s="210">
        <v>2598</v>
      </c>
      <c r="I30" s="206">
        <v>167</v>
      </c>
      <c r="J30" s="175">
        <v>167</v>
      </c>
      <c r="K30" s="175">
        <v>0</v>
      </c>
      <c r="L30" s="176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</row>
    <row r="31" spans="1:24" s="178" customFormat="1">
      <c r="B31" s="226"/>
      <c r="C31" s="227"/>
      <c r="D31" s="182" t="s">
        <v>61</v>
      </c>
      <c r="E31" s="174">
        <v>20</v>
      </c>
      <c r="F31" s="210">
        <v>0</v>
      </c>
      <c r="G31" s="210">
        <v>115</v>
      </c>
      <c r="H31" s="210">
        <v>263</v>
      </c>
      <c r="I31" s="206">
        <v>17</v>
      </c>
      <c r="J31" s="175">
        <v>17</v>
      </c>
      <c r="K31" s="175">
        <v>0</v>
      </c>
      <c r="L31" s="176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</row>
    <row r="32" spans="1:24" s="178" customFormat="1">
      <c r="B32" s="221"/>
      <c r="C32" s="222"/>
      <c r="D32" s="173" t="s">
        <v>45</v>
      </c>
      <c r="E32" s="174">
        <v>126</v>
      </c>
      <c r="F32" s="210">
        <v>0</v>
      </c>
      <c r="G32" s="210">
        <v>723</v>
      </c>
      <c r="H32" s="210">
        <v>1660</v>
      </c>
      <c r="I32" s="206">
        <v>107</v>
      </c>
      <c r="J32" s="175">
        <v>107</v>
      </c>
      <c r="K32" s="175">
        <v>0</v>
      </c>
      <c r="L32" s="176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</row>
    <row r="33" spans="1:24">
      <c r="A33" s="236" t="s">
        <v>246</v>
      </c>
      <c r="B33" s="228">
        <v>3</v>
      </c>
      <c r="C33" s="229"/>
      <c r="D33" s="20" t="s">
        <v>70</v>
      </c>
      <c r="E33" s="21">
        <v>86</v>
      </c>
      <c r="F33" s="210">
        <v>-737</v>
      </c>
      <c r="G33" s="210">
        <v>346</v>
      </c>
      <c r="H33" s="210">
        <v>396</v>
      </c>
      <c r="I33" s="207">
        <v>-40</v>
      </c>
      <c r="J33" s="22">
        <v>0</v>
      </c>
      <c r="K33" s="24">
        <v>-40</v>
      </c>
      <c r="L33" s="23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>
      <c r="B34" s="228"/>
      <c r="C34" s="229"/>
      <c r="D34" s="20" t="s">
        <v>73</v>
      </c>
      <c r="E34" s="21">
        <v>0</v>
      </c>
      <c r="F34" s="210">
        <v>0</v>
      </c>
      <c r="G34" s="210">
        <v>0</v>
      </c>
      <c r="H34" s="210">
        <v>0</v>
      </c>
      <c r="I34" s="206">
        <v>0</v>
      </c>
      <c r="J34" s="22">
        <v>0</v>
      </c>
      <c r="K34" s="22">
        <v>0</v>
      </c>
      <c r="L34" s="23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spans="1:24">
      <c r="B35" s="228"/>
      <c r="C35" s="229"/>
      <c r="D35" s="20" t="s">
        <v>56</v>
      </c>
      <c r="E35" s="21">
        <v>81</v>
      </c>
      <c r="F35" s="210">
        <v>58</v>
      </c>
      <c r="G35" s="210">
        <v>474</v>
      </c>
      <c r="H35" s="210">
        <v>1119</v>
      </c>
      <c r="I35" s="206">
        <v>91</v>
      </c>
      <c r="J35" s="22">
        <v>0</v>
      </c>
      <c r="K35" s="22">
        <v>91</v>
      </c>
      <c r="L35" s="23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1:24">
      <c r="B36" s="228"/>
      <c r="C36" s="229"/>
      <c r="D36" s="20" t="s">
        <v>74</v>
      </c>
      <c r="E36" s="21">
        <v>0</v>
      </c>
      <c r="F36" s="210">
        <v>0</v>
      </c>
      <c r="G36" s="210">
        <v>0</v>
      </c>
      <c r="H36" s="210">
        <v>0</v>
      </c>
      <c r="I36" s="206">
        <v>0</v>
      </c>
      <c r="J36" s="22">
        <v>0</v>
      </c>
      <c r="K36" s="22">
        <v>0</v>
      </c>
      <c r="L36" s="23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spans="1:24">
      <c r="B37" s="228"/>
      <c r="C37" s="229"/>
      <c r="D37" s="181" t="s">
        <v>61</v>
      </c>
      <c r="E37" s="21">
        <v>9</v>
      </c>
      <c r="F37" s="210">
        <v>0</v>
      </c>
      <c r="G37" s="210">
        <v>51</v>
      </c>
      <c r="H37" s="210">
        <v>116</v>
      </c>
      <c r="I37" s="206">
        <v>9</v>
      </c>
      <c r="J37" s="22">
        <v>0</v>
      </c>
      <c r="K37" s="22">
        <v>9</v>
      </c>
      <c r="L37" s="23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1:24">
      <c r="B38" s="228"/>
      <c r="C38" s="229"/>
      <c r="D38" s="20" t="s">
        <v>54</v>
      </c>
      <c r="E38" s="21">
        <v>81</v>
      </c>
      <c r="F38" s="210">
        <v>48</v>
      </c>
      <c r="G38" s="210">
        <v>471</v>
      </c>
      <c r="H38" s="210">
        <v>1107</v>
      </c>
      <c r="I38" s="206">
        <v>89</v>
      </c>
      <c r="J38" s="22">
        <v>0</v>
      </c>
      <c r="K38" s="22">
        <v>89</v>
      </c>
      <c r="L38" s="23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1:24" s="178" customFormat="1">
      <c r="A39" s="237" t="s">
        <v>247</v>
      </c>
      <c r="B39" s="219">
        <v>2</v>
      </c>
      <c r="C39" s="220"/>
      <c r="D39" s="173" t="s">
        <v>74</v>
      </c>
      <c r="E39" s="174">
        <v>0</v>
      </c>
      <c r="F39" s="210">
        <v>0</v>
      </c>
      <c r="G39" s="210">
        <v>0</v>
      </c>
      <c r="H39" s="210">
        <v>0</v>
      </c>
      <c r="I39" s="206">
        <v>0</v>
      </c>
      <c r="J39" s="175">
        <v>0</v>
      </c>
      <c r="K39" s="175">
        <v>0</v>
      </c>
      <c r="L39" s="176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</row>
    <row r="40" spans="1:24" s="178" customFormat="1">
      <c r="B40" s="219"/>
      <c r="C40" s="220"/>
      <c r="D40" s="173" t="s">
        <v>75</v>
      </c>
      <c r="E40" s="174">
        <v>276</v>
      </c>
      <c r="F40" s="210">
        <v>230</v>
      </c>
      <c r="G40" s="210">
        <v>1625</v>
      </c>
      <c r="H40" s="210">
        <v>3853</v>
      </c>
      <c r="I40" s="206">
        <v>321</v>
      </c>
      <c r="J40" s="175">
        <v>0</v>
      </c>
      <c r="K40" s="175">
        <v>321</v>
      </c>
      <c r="L40" s="176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</row>
    <row r="41" spans="1:24" s="178" customFormat="1">
      <c r="B41" s="219"/>
      <c r="C41" s="220"/>
      <c r="D41" s="173" t="s">
        <v>56</v>
      </c>
      <c r="E41" s="174">
        <v>28</v>
      </c>
      <c r="F41" s="210">
        <v>23</v>
      </c>
      <c r="G41" s="210">
        <v>162</v>
      </c>
      <c r="H41" s="210">
        <v>385</v>
      </c>
      <c r="I41" s="206">
        <v>32</v>
      </c>
      <c r="J41" s="175">
        <v>0</v>
      </c>
      <c r="K41" s="175">
        <v>32</v>
      </c>
      <c r="L41" s="176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</row>
    <row r="42" spans="1:24" s="178" customFormat="1">
      <c r="B42" s="219"/>
      <c r="C42" s="220"/>
      <c r="D42" s="173" t="s">
        <v>54</v>
      </c>
      <c r="E42" s="174">
        <v>52</v>
      </c>
      <c r="F42" s="210">
        <v>35</v>
      </c>
      <c r="G42" s="210">
        <v>303</v>
      </c>
      <c r="H42" s="210">
        <v>714</v>
      </c>
      <c r="I42" s="206">
        <v>59</v>
      </c>
      <c r="J42" s="175">
        <v>0</v>
      </c>
      <c r="K42" s="175">
        <v>59</v>
      </c>
      <c r="L42" s="176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</row>
    <row r="43" spans="1:24">
      <c r="A43" s="236" t="s">
        <v>248</v>
      </c>
      <c r="B43" s="228">
        <v>4</v>
      </c>
      <c r="C43" s="229"/>
      <c r="D43" s="181" t="s">
        <v>61</v>
      </c>
      <c r="E43" s="21">
        <v>14</v>
      </c>
      <c r="F43" s="210">
        <v>0</v>
      </c>
      <c r="G43" s="210">
        <v>82</v>
      </c>
      <c r="H43" s="210">
        <v>189</v>
      </c>
      <c r="I43" s="206">
        <v>14</v>
      </c>
      <c r="J43" s="22">
        <v>0</v>
      </c>
      <c r="K43" s="22">
        <v>14</v>
      </c>
      <c r="L43" s="23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24">
      <c r="B44" s="228"/>
      <c r="C44" s="229"/>
      <c r="D44" s="20" t="s">
        <v>74</v>
      </c>
      <c r="E44" s="21">
        <v>0</v>
      </c>
      <c r="F44" s="210">
        <v>0</v>
      </c>
      <c r="G44" s="210">
        <v>0</v>
      </c>
      <c r="H44" s="210">
        <v>0</v>
      </c>
      <c r="I44" s="206">
        <v>0</v>
      </c>
      <c r="J44" s="22">
        <v>0</v>
      </c>
      <c r="K44" s="22">
        <v>0</v>
      </c>
      <c r="L44" s="23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spans="1:24">
      <c r="B45" s="228"/>
      <c r="C45" s="229"/>
      <c r="D45" s="20" t="s">
        <v>56</v>
      </c>
      <c r="E45" s="21">
        <v>40</v>
      </c>
      <c r="F45" s="210">
        <v>26</v>
      </c>
      <c r="G45" s="210">
        <v>236</v>
      </c>
      <c r="H45" s="210">
        <v>556</v>
      </c>
      <c r="I45" s="206">
        <v>43</v>
      </c>
      <c r="J45" s="22">
        <v>0</v>
      </c>
      <c r="K45" s="22">
        <v>43</v>
      </c>
      <c r="L45" s="2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1:24">
      <c r="B46" s="228"/>
      <c r="C46" s="229"/>
      <c r="D46" s="20" t="s">
        <v>54</v>
      </c>
      <c r="E46" s="21">
        <v>118</v>
      </c>
      <c r="F46" s="210">
        <v>63</v>
      </c>
      <c r="G46" s="210">
        <v>685</v>
      </c>
      <c r="H46" s="210">
        <v>1606</v>
      </c>
      <c r="I46" s="206">
        <v>123</v>
      </c>
      <c r="J46" s="22">
        <v>0</v>
      </c>
      <c r="K46" s="22">
        <v>123</v>
      </c>
      <c r="L46" s="23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spans="1:24">
      <c r="B47" s="228"/>
      <c r="C47" s="229"/>
      <c r="D47" s="20" t="s">
        <v>75</v>
      </c>
      <c r="E47" s="21">
        <v>441</v>
      </c>
      <c r="F47" s="210">
        <v>289</v>
      </c>
      <c r="G47" s="210">
        <v>2578</v>
      </c>
      <c r="H47" s="210">
        <v>6072</v>
      </c>
      <c r="I47" s="206">
        <v>470</v>
      </c>
      <c r="J47" s="22">
        <v>0</v>
      </c>
      <c r="K47" s="22">
        <v>470</v>
      </c>
      <c r="L47" s="23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spans="1:24" s="178" customFormat="1">
      <c r="A48" s="237" t="s">
        <v>249</v>
      </c>
      <c r="B48" s="219">
        <v>4</v>
      </c>
      <c r="C48" s="220"/>
      <c r="D48" s="173" t="s">
        <v>74</v>
      </c>
      <c r="E48" s="174">
        <v>0</v>
      </c>
      <c r="F48" s="210">
        <v>0</v>
      </c>
      <c r="G48" s="210">
        <v>0</v>
      </c>
      <c r="H48" s="210">
        <v>0</v>
      </c>
      <c r="I48" s="206">
        <v>0</v>
      </c>
      <c r="J48" s="175">
        <v>0</v>
      </c>
      <c r="K48" s="175">
        <v>0</v>
      </c>
      <c r="L48" s="176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</row>
    <row r="49" spans="1:24" s="178" customFormat="1">
      <c r="B49" s="219"/>
      <c r="C49" s="220"/>
      <c r="D49" s="173" t="s">
        <v>62</v>
      </c>
      <c r="E49" s="174">
        <v>429</v>
      </c>
      <c r="F49" s="210">
        <v>244</v>
      </c>
      <c r="G49" s="210">
        <v>2500</v>
      </c>
      <c r="H49" s="210">
        <v>5867</v>
      </c>
      <c r="I49" s="206">
        <v>408</v>
      </c>
      <c r="J49" s="175">
        <v>368</v>
      </c>
      <c r="K49" s="175">
        <v>40</v>
      </c>
      <c r="L49" s="176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</row>
    <row r="50" spans="1:24" s="178" customFormat="1">
      <c r="B50" s="219"/>
      <c r="C50" s="220"/>
      <c r="D50" s="173" t="s">
        <v>51</v>
      </c>
      <c r="E50" s="174">
        <v>32</v>
      </c>
      <c r="F50" s="210">
        <v>18</v>
      </c>
      <c r="G50" s="210">
        <v>187</v>
      </c>
      <c r="H50" s="210">
        <v>438</v>
      </c>
      <c r="I50" s="206">
        <v>30</v>
      </c>
      <c r="J50" s="175">
        <v>27</v>
      </c>
      <c r="K50" s="175">
        <v>3</v>
      </c>
      <c r="L50" s="176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</row>
    <row r="51" spans="1:24" s="178" customFormat="1">
      <c r="B51" s="219"/>
      <c r="C51" s="220"/>
      <c r="D51" s="173" t="s">
        <v>41</v>
      </c>
      <c r="E51" s="174">
        <v>113</v>
      </c>
      <c r="F51" s="210">
        <v>60</v>
      </c>
      <c r="G51" s="210">
        <v>656</v>
      </c>
      <c r="H51" s="210">
        <v>1537</v>
      </c>
      <c r="I51" s="206">
        <v>107</v>
      </c>
      <c r="J51" s="175">
        <v>97</v>
      </c>
      <c r="K51" s="175">
        <v>10</v>
      </c>
      <c r="L51" s="176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</row>
    <row r="52" spans="1:24" s="178" customFormat="1">
      <c r="A52" s="240" t="s">
        <v>250</v>
      </c>
      <c r="B52" s="238">
        <v>4</v>
      </c>
      <c r="C52" s="239"/>
      <c r="D52" s="173" t="s">
        <v>65</v>
      </c>
      <c r="E52" s="174">
        <v>70</v>
      </c>
      <c r="F52" s="210">
        <v>690</v>
      </c>
      <c r="G52" s="210">
        <v>537</v>
      </c>
      <c r="H52" s="210">
        <v>1605</v>
      </c>
      <c r="I52" s="206">
        <v>191</v>
      </c>
      <c r="J52" s="175">
        <v>0</v>
      </c>
      <c r="K52" s="175">
        <v>191</v>
      </c>
      <c r="L52" s="176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</row>
    <row r="53" spans="1:24">
      <c r="A53" s="241" t="s">
        <v>251</v>
      </c>
      <c r="B53" s="228">
        <v>4</v>
      </c>
      <c r="C53" s="229"/>
      <c r="D53" s="20" t="s">
        <v>50</v>
      </c>
      <c r="E53" s="21">
        <v>0</v>
      </c>
      <c r="F53" s="210">
        <v>0</v>
      </c>
      <c r="G53" s="210">
        <v>0</v>
      </c>
      <c r="H53" s="210">
        <v>0</v>
      </c>
      <c r="I53" s="206">
        <v>0</v>
      </c>
      <c r="J53" s="22">
        <v>0</v>
      </c>
      <c r="K53" s="22">
        <v>0</v>
      </c>
      <c r="L53" s="23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spans="1:24">
      <c r="B54" s="228"/>
      <c r="C54" s="229"/>
      <c r="D54" s="20" t="s">
        <v>74</v>
      </c>
      <c r="E54" s="21">
        <v>0</v>
      </c>
      <c r="F54" s="210">
        <v>0</v>
      </c>
      <c r="G54" s="210">
        <v>0</v>
      </c>
      <c r="H54" s="210">
        <v>0</v>
      </c>
      <c r="I54" s="206">
        <v>0</v>
      </c>
      <c r="J54" s="22">
        <v>0</v>
      </c>
      <c r="K54" s="22">
        <v>0</v>
      </c>
      <c r="L54" s="2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spans="1:24">
      <c r="B55" s="228"/>
      <c r="C55" s="229"/>
      <c r="D55" s="20" t="s">
        <v>56</v>
      </c>
      <c r="E55" s="21">
        <v>68</v>
      </c>
      <c r="F55" s="210">
        <v>49</v>
      </c>
      <c r="G55" s="210">
        <v>397</v>
      </c>
      <c r="H55" s="210">
        <v>938</v>
      </c>
      <c r="I55" s="206">
        <v>73</v>
      </c>
      <c r="J55" s="22">
        <v>0</v>
      </c>
      <c r="K55" s="22">
        <v>73</v>
      </c>
      <c r="L55" s="23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spans="1:24">
      <c r="B56" s="228"/>
      <c r="C56" s="229"/>
      <c r="D56" s="20" t="s">
        <v>54</v>
      </c>
      <c r="E56" s="21">
        <v>139</v>
      </c>
      <c r="F56" s="210">
        <v>82</v>
      </c>
      <c r="G56" s="210">
        <v>810</v>
      </c>
      <c r="H56" s="210">
        <v>1904</v>
      </c>
      <c r="I56" s="206">
        <v>145</v>
      </c>
      <c r="J56" s="22">
        <v>0</v>
      </c>
      <c r="K56" s="22">
        <v>145</v>
      </c>
      <c r="L56" s="23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spans="1:24">
      <c r="B57" s="228"/>
      <c r="C57" s="229"/>
      <c r="D57" s="181" t="s">
        <v>61</v>
      </c>
      <c r="E57" s="21">
        <v>10</v>
      </c>
      <c r="F57" s="210">
        <v>0</v>
      </c>
      <c r="G57" s="210">
        <v>57</v>
      </c>
      <c r="H57" s="210">
        <v>131</v>
      </c>
      <c r="I57" s="206">
        <v>9</v>
      </c>
      <c r="J57" s="22">
        <v>0</v>
      </c>
      <c r="K57" s="22">
        <v>9</v>
      </c>
      <c r="L57" s="23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1:24" s="178" customFormat="1">
      <c r="A58" s="237" t="s">
        <v>252</v>
      </c>
      <c r="B58" s="219">
        <v>4</v>
      </c>
      <c r="C58" s="220"/>
      <c r="D58" s="173" t="s">
        <v>33</v>
      </c>
      <c r="E58" s="174">
        <v>0</v>
      </c>
      <c r="F58" s="210">
        <v>0</v>
      </c>
      <c r="G58" s="210">
        <v>0</v>
      </c>
      <c r="H58" s="210">
        <v>0</v>
      </c>
      <c r="I58" s="206">
        <v>0</v>
      </c>
      <c r="J58" s="175">
        <v>0</v>
      </c>
      <c r="K58" s="175">
        <v>0</v>
      </c>
      <c r="L58" s="176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</row>
    <row r="59" spans="1:24" s="178" customFormat="1">
      <c r="B59" s="219"/>
      <c r="C59" s="220"/>
      <c r="D59" s="173" t="s">
        <v>75</v>
      </c>
      <c r="E59" s="174">
        <v>0</v>
      </c>
      <c r="F59" s="210">
        <v>1954</v>
      </c>
      <c r="G59" s="210">
        <v>381</v>
      </c>
      <c r="H59" s="210">
        <v>1935</v>
      </c>
      <c r="I59" s="206">
        <v>321</v>
      </c>
      <c r="J59" s="175">
        <v>0</v>
      </c>
      <c r="K59" s="175">
        <v>321</v>
      </c>
      <c r="L59" s="176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</row>
    <row r="60" spans="1:24" s="178" customFormat="1">
      <c r="B60" s="219"/>
      <c r="C60" s="220"/>
      <c r="D60" s="173" t="s">
        <v>49</v>
      </c>
      <c r="E60" s="174">
        <v>0</v>
      </c>
      <c r="F60" s="210">
        <v>2960</v>
      </c>
      <c r="G60" s="210">
        <v>578</v>
      </c>
      <c r="H60" s="210">
        <v>2930</v>
      </c>
      <c r="I60" s="206">
        <v>486</v>
      </c>
      <c r="J60" s="175">
        <v>0</v>
      </c>
      <c r="K60" s="175">
        <v>486</v>
      </c>
      <c r="L60" s="176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</row>
    <row r="61" spans="1:24" s="178" customFormat="1">
      <c r="B61" s="219"/>
      <c r="C61" s="220"/>
      <c r="D61" s="173" t="s">
        <v>41</v>
      </c>
      <c r="E61" s="174">
        <v>0</v>
      </c>
      <c r="F61" s="210">
        <v>3511</v>
      </c>
      <c r="G61" s="210">
        <v>685</v>
      </c>
      <c r="H61" s="210">
        <v>3476</v>
      </c>
      <c r="I61" s="206">
        <v>577</v>
      </c>
      <c r="J61" s="175">
        <v>0</v>
      </c>
      <c r="K61" s="175">
        <v>577</v>
      </c>
      <c r="L61" s="176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</row>
    <row r="62" spans="1:24">
      <c r="B62" s="25">
        <v>79</v>
      </c>
      <c r="C62" s="26"/>
      <c r="D62" s="26"/>
      <c r="E62" s="28">
        <f t="shared" ref="E62:K62" si="0">SUM(E2:E61)</f>
        <v>5056</v>
      </c>
      <c r="F62" s="212">
        <f t="shared" si="0"/>
        <v>13752</v>
      </c>
      <c r="G62" s="212">
        <f t="shared" si="0"/>
        <v>33008</v>
      </c>
      <c r="H62" s="212">
        <f t="shared" si="0"/>
        <v>81715</v>
      </c>
      <c r="I62" s="208">
        <f t="shared" si="0"/>
        <v>6988</v>
      </c>
      <c r="J62" s="27">
        <f t="shared" si="0"/>
        <v>763</v>
      </c>
      <c r="K62" s="27">
        <f t="shared" si="0"/>
        <v>6225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spans="1:24">
      <c r="B63" s="16"/>
      <c r="C63" s="16"/>
      <c r="D63" s="16"/>
      <c r="E63" s="16"/>
      <c r="F63" s="209"/>
      <c r="G63" s="209"/>
      <c r="H63" s="209"/>
      <c r="I63" s="209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spans="1:24">
      <c r="B64" s="16"/>
      <c r="C64" s="16"/>
      <c r="D64" s="16"/>
      <c r="E64" s="16"/>
      <c r="F64" s="210">
        <v>3035</v>
      </c>
      <c r="G64" s="210">
        <v>421</v>
      </c>
      <c r="H64" s="210">
        <v>1044</v>
      </c>
      <c r="I64" s="206">
        <v>314</v>
      </c>
      <c r="J64" s="22">
        <v>314</v>
      </c>
      <c r="K64" s="22">
        <v>169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spans="2:24">
      <c r="B65" s="16"/>
      <c r="C65" s="16"/>
      <c r="D65" s="16"/>
      <c r="E65" s="16"/>
      <c r="F65" s="210">
        <v>1054</v>
      </c>
      <c r="G65" s="210"/>
      <c r="H65" s="210"/>
      <c r="I65" s="206">
        <v>169</v>
      </c>
      <c r="J65" s="22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spans="2:24">
      <c r="B66" s="16"/>
      <c r="C66" s="16"/>
      <c r="D66" s="16"/>
      <c r="E66" s="28">
        <v>5056</v>
      </c>
      <c r="F66" s="212">
        <v>17841</v>
      </c>
      <c r="G66" s="212">
        <v>33429</v>
      </c>
      <c r="H66" s="212">
        <v>82759</v>
      </c>
      <c r="I66" s="208">
        <v>7471</v>
      </c>
      <c r="J66" s="27">
        <v>1077</v>
      </c>
      <c r="K66" s="27">
        <v>6394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spans="2:24">
      <c r="B67" s="16"/>
      <c r="C67" s="16"/>
      <c r="D67" s="16"/>
      <c r="E67" s="16"/>
      <c r="F67" s="209"/>
      <c r="G67" s="209"/>
      <c r="H67" s="209"/>
      <c r="I67" s="209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spans="2:24">
      <c r="B68" s="16"/>
      <c r="C68" s="16"/>
      <c r="D68" s="16"/>
      <c r="E68" s="16"/>
      <c r="F68" s="209"/>
      <c r="G68" s="209"/>
      <c r="H68" s="209"/>
      <c r="I68" s="209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spans="2:24">
      <c r="B69" s="16"/>
      <c r="C69" s="16"/>
      <c r="D69" s="16"/>
      <c r="E69" s="16"/>
      <c r="F69" s="209"/>
      <c r="G69" s="209"/>
      <c r="H69" s="209"/>
      <c r="I69" s="209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spans="2:24">
      <c r="B70" s="16"/>
      <c r="C70" s="16"/>
      <c r="D70" s="16"/>
      <c r="E70" s="16"/>
      <c r="F70" s="209"/>
      <c r="G70" s="209"/>
      <c r="H70" s="209"/>
      <c r="I70" s="209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spans="2:24">
      <c r="B71" s="16"/>
      <c r="C71" s="16"/>
      <c r="D71" s="16"/>
      <c r="E71" s="16"/>
      <c r="F71" s="209"/>
      <c r="G71" s="209"/>
      <c r="H71" s="209"/>
      <c r="I71" s="209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spans="2:24">
      <c r="B72" s="16"/>
      <c r="C72" s="16"/>
      <c r="D72" s="16"/>
      <c r="E72" s="16"/>
      <c r="F72" s="209"/>
      <c r="G72" s="209"/>
      <c r="H72" s="209"/>
      <c r="I72" s="209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spans="2:24">
      <c r="B73" s="16"/>
      <c r="C73" s="16"/>
      <c r="D73" s="16"/>
      <c r="E73" s="16"/>
      <c r="F73" s="209"/>
      <c r="G73" s="209"/>
      <c r="H73" s="209"/>
      <c r="I73" s="209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spans="2:24">
      <c r="B74" s="16"/>
      <c r="C74" s="16"/>
      <c r="D74" s="16"/>
      <c r="E74" s="16"/>
      <c r="F74" s="209"/>
      <c r="G74" s="209"/>
      <c r="H74" s="209"/>
      <c r="I74" s="209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spans="2:24">
      <c r="B75" s="16"/>
      <c r="C75" s="16"/>
      <c r="D75" s="16"/>
      <c r="E75" s="16"/>
      <c r="F75" s="209"/>
      <c r="G75" s="209"/>
      <c r="H75" s="209"/>
      <c r="I75" s="209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spans="2:24">
      <c r="B76" s="16"/>
      <c r="C76" s="16"/>
      <c r="D76" s="16"/>
      <c r="E76" s="16"/>
      <c r="F76" s="209"/>
      <c r="G76" s="209"/>
      <c r="H76" s="209"/>
      <c r="I76" s="209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spans="2:24">
      <c r="B77" s="16"/>
      <c r="C77" s="16"/>
      <c r="D77" s="16"/>
      <c r="E77" s="16"/>
      <c r="F77" s="209"/>
      <c r="G77" s="209"/>
      <c r="H77" s="209"/>
      <c r="I77" s="209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spans="2:24">
      <c r="B78" s="16"/>
      <c r="C78" s="16"/>
      <c r="D78" s="16"/>
      <c r="E78" s="16"/>
      <c r="F78" s="209"/>
      <c r="G78" s="209"/>
      <c r="H78" s="209"/>
      <c r="I78" s="209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spans="2:24">
      <c r="B79" s="16"/>
      <c r="C79" s="16"/>
      <c r="D79" s="16"/>
      <c r="E79" s="16"/>
      <c r="F79" s="209"/>
      <c r="G79" s="209"/>
      <c r="H79" s="209"/>
      <c r="I79" s="209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spans="2:24">
      <c r="B80" s="16"/>
      <c r="C80" s="16"/>
      <c r="D80" s="16"/>
      <c r="E80" s="16"/>
      <c r="F80" s="209"/>
      <c r="G80" s="209"/>
      <c r="H80" s="209"/>
      <c r="I80" s="209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spans="2:24">
      <c r="B81" s="16"/>
      <c r="C81" s="16"/>
      <c r="D81" s="16"/>
      <c r="E81" s="16"/>
      <c r="F81" s="209"/>
      <c r="G81" s="209"/>
      <c r="H81" s="209"/>
      <c r="I81" s="209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2:24">
      <c r="B82" s="16"/>
      <c r="C82" s="16"/>
      <c r="D82" s="16"/>
      <c r="E82" s="16"/>
      <c r="F82" s="209"/>
      <c r="G82" s="209"/>
      <c r="H82" s="209"/>
      <c r="I82" s="209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2:24">
      <c r="B83" s="16"/>
      <c r="C83" s="16"/>
      <c r="D83" s="16"/>
      <c r="E83" s="16"/>
      <c r="F83" s="209"/>
      <c r="G83" s="209"/>
      <c r="H83" s="209"/>
      <c r="I83" s="209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2:24">
      <c r="B84" s="16"/>
      <c r="C84" s="16"/>
      <c r="D84" s="16"/>
      <c r="E84" s="16"/>
      <c r="F84" s="209"/>
      <c r="G84" s="209"/>
      <c r="H84" s="209"/>
      <c r="I84" s="209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2:24">
      <c r="B85" s="16"/>
      <c r="C85" s="16"/>
      <c r="D85" s="16"/>
      <c r="E85" s="16"/>
      <c r="F85" s="209"/>
      <c r="G85" s="209"/>
      <c r="H85" s="209"/>
      <c r="I85" s="209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2:24">
      <c r="B86" s="16"/>
      <c r="C86" s="16"/>
      <c r="D86" s="16"/>
      <c r="E86" s="16"/>
      <c r="F86" s="209"/>
      <c r="G86" s="209"/>
      <c r="H86" s="209"/>
      <c r="I86" s="209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2:24">
      <c r="B87" s="16"/>
      <c r="C87" s="16"/>
      <c r="D87" s="16"/>
      <c r="E87" s="16"/>
      <c r="F87" s="209"/>
      <c r="G87" s="209"/>
      <c r="H87" s="209"/>
      <c r="I87" s="209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2:24">
      <c r="B88" s="16"/>
      <c r="C88" s="16"/>
      <c r="D88" s="16"/>
      <c r="E88" s="16"/>
      <c r="F88" s="209"/>
      <c r="G88" s="209"/>
      <c r="H88" s="209"/>
      <c r="I88" s="209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2:24">
      <c r="B89" s="16"/>
      <c r="C89" s="16"/>
      <c r="D89" s="16"/>
      <c r="E89" s="16"/>
      <c r="F89" s="209"/>
      <c r="G89" s="209"/>
      <c r="H89" s="209"/>
      <c r="I89" s="209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2:24">
      <c r="B90" s="16"/>
      <c r="C90" s="16"/>
      <c r="D90" s="16"/>
      <c r="E90" s="16"/>
      <c r="F90" s="209"/>
      <c r="G90" s="209"/>
      <c r="H90" s="209"/>
      <c r="I90" s="209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2:24">
      <c r="B91" s="16"/>
      <c r="C91" s="16"/>
      <c r="D91" s="16"/>
      <c r="E91" s="16"/>
      <c r="F91" s="209"/>
      <c r="G91" s="209"/>
      <c r="H91" s="209"/>
      <c r="I91" s="209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2:24">
      <c r="B92" s="16"/>
      <c r="C92" s="16"/>
      <c r="D92" s="16"/>
      <c r="E92" s="16"/>
      <c r="F92" s="209"/>
      <c r="G92" s="209"/>
      <c r="H92" s="209"/>
      <c r="I92" s="209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2:24">
      <c r="B93" s="16"/>
      <c r="C93" s="16"/>
      <c r="D93" s="16"/>
      <c r="E93" s="16"/>
      <c r="F93" s="209"/>
      <c r="G93" s="209"/>
      <c r="H93" s="209"/>
      <c r="I93" s="209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2:24">
      <c r="B94" s="16"/>
      <c r="C94" s="16"/>
      <c r="D94" s="16"/>
      <c r="E94" s="16"/>
      <c r="F94" s="209"/>
      <c r="G94" s="209"/>
      <c r="H94" s="209"/>
      <c r="I94" s="209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2:24">
      <c r="B95" s="16"/>
      <c r="C95" s="16"/>
      <c r="D95" s="16"/>
      <c r="E95" s="16"/>
      <c r="F95" s="209"/>
      <c r="G95" s="209"/>
      <c r="H95" s="209"/>
      <c r="I95" s="209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2:24">
      <c r="B96" s="16"/>
      <c r="C96" s="16"/>
      <c r="D96" s="16"/>
      <c r="E96" s="16"/>
      <c r="F96" s="209"/>
      <c r="G96" s="209"/>
      <c r="H96" s="209"/>
      <c r="I96" s="209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2:24">
      <c r="B97" s="16"/>
      <c r="C97" s="16"/>
      <c r="D97" s="16"/>
      <c r="E97" s="16"/>
      <c r="F97" s="209"/>
      <c r="G97" s="209"/>
      <c r="H97" s="209"/>
      <c r="I97" s="209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2:24">
      <c r="B98" s="16"/>
      <c r="C98" s="16"/>
      <c r="D98" s="16"/>
      <c r="E98" s="16"/>
      <c r="F98" s="209"/>
      <c r="G98" s="209"/>
      <c r="H98" s="209"/>
      <c r="I98" s="209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2:24">
      <c r="B99" s="16"/>
      <c r="C99" s="16"/>
      <c r="D99" s="16"/>
      <c r="E99" s="16"/>
      <c r="F99" s="209"/>
      <c r="G99" s="209"/>
      <c r="H99" s="209"/>
      <c r="I99" s="209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2:24">
      <c r="B100" s="16"/>
      <c r="C100" s="16"/>
      <c r="D100" s="16"/>
      <c r="E100" s="16"/>
      <c r="F100" s="209"/>
      <c r="G100" s="209"/>
      <c r="H100" s="209"/>
      <c r="I100" s="209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2:24">
      <c r="B101" s="16"/>
      <c r="C101" s="16"/>
      <c r="D101" s="16"/>
      <c r="E101" s="16"/>
      <c r="F101" s="209"/>
      <c r="G101" s="209"/>
      <c r="H101" s="209"/>
      <c r="I101" s="209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2:24">
      <c r="B102" s="16"/>
      <c r="C102" s="16"/>
      <c r="D102" s="16"/>
      <c r="E102" s="16"/>
      <c r="F102" s="209"/>
      <c r="G102" s="209"/>
      <c r="H102" s="209"/>
      <c r="I102" s="209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2:24">
      <c r="B103" s="16"/>
      <c r="C103" s="16"/>
      <c r="D103" s="16"/>
      <c r="E103" s="16"/>
      <c r="F103" s="209"/>
      <c r="G103" s="209"/>
      <c r="H103" s="209"/>
      <c r="I103" s="209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2:24">
      <c r="B104" s="16"/>
      <c r="C104" s="16"/>
      <c r="D104" s="16"/>
      <c r="E104" s="16"/>
      <c r="F104" s="209"/>
      <c r="G104" s="209"/>
      <c r="H104" s="209"/>
      <c r="I104" s="209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2:24">
      <c r="B105" s="16"/>
      <c r="C105" s="16"/>
      <c r="D105" s="16"/>
      <c r="E105" s="16"/>
      <c r="F105" s="209"/>
      <c r="G105" s="209"/>
      <c r="H105" s="209"/>
      <c r="I105" s="209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2:24">
      <c r="B106" s="16"/>
      <c r="C106" s="16"/>
      <c r="D106" s="16"/>
      <c r="E106" s="16"/>
      <c r="F106" s="209"/>
      <c r="G106" s="209"/>
      <c r="H106" s="209"/>
      <c r="I106" s="209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2:24">
      <c r="B107" s="16"/>
      <c r="C107" s="16"/>
      <c r="D107" s="16"/>
      <c r="E107" s="16"/>
      <c r="F107" s="209"/>
      <c r="G107" s="209"/>
      <c r="H107" s="209"/>
      <c r="I107" s="209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2:24">
      <c r="B108" s="16"/>
      <c r="C108" s="16"/>
      <c r="D108" s="16"/>
      <c r="E108" s="16"/>
      <c r="F108" s="209"/>
      <c r="G108" s="209"/>
      <c r="H108" s="209"/>
      <c r="I108" s="209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2:24">
      <c r="B109" s="16"/>
      <c r="C109" s="16"/>
      <c r="D109" s="16"/>
      <c r="E109" s="16"/>
      <c r="F109" s="209"/>
      <c r="G109" s="209"/>
      <c r="H109" s="209"/>
      <c r="I109" s="209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2:24">
      <c r="B110" s="16"/>
      <c r="C110" s="16"/>
      <c r="D110" s="16"/>
      <c r="E110" s="16"/>
      <c r="F110" s="209"/>
      <c r="G110" s="209"/>
      <c r="H110" s="209"/>
      <c r="I110" s="209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2:24">
      <c r="B111" s="16"/>
      <c r="C111" s="16"/>
      <c r="D111" s="16"/>
      <c r="E111" s="16"/>
      <c r="F111" s="209"/>
      <c r="G111" s="209"/>
      <c r="H111" s="209"/>
      <c r="I111" s="209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2:24">
      <c r="B112" s="16"/>
      <c r="C112" s="16"/>
      <c r="D112" s="16"/>
      <c r="E112" s="16"/>
      <c r="F112" s="209"/>
      <c r="G112" s="209"/>
      <c r="H112" s="209"/>
      <c r="I112" s="209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2:24">
      <c r="B113" s="16"/>
      <c r="C113" s="16"/>
      <c r="D113" s="16"/>
      <c r="E113" s="16"/>
      <c r="F113" s="209"/>
      <c r="G113" s="209"/>
      <c r="H113" s="209"/>
      <c r="I113" s="209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2:24">
      <c r="B114" s="16"/>
      <c r="C114" s="16"/>
      <c r="D114" s="16"/>
      <c r="E114" s="16"/>
      <c r="F114" s="209"/>
      <c r="G114" s="209"/>
      <c r="H114" s="209"/>
      <c r="I114" s="209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2:24">
      <c r="B115" s="16"/>
      <c r="C115" s="16"/>
      <c r="D115" s="16"/>
      <c r="E115" s="16"/>
      <c r="F115" s="209"/>
      <c r="G115" s="209"/>
      <c r="H115" s="209"/>
      <c r="I115" s="209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2:24">
      <c r="B116" s="16"/>
      <c r="C116" s="16"/>
      <c r="D116" s="16"/>
      <c r="E116" s="16"/>
      <c r="F116" s="209"/>
      <c r="G116" s="209"/>
      <c r="H116" s="209"/>
      <c r="I116" s="209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2:24">
      <c r="B117" s="16"/>
      <c r="C117" s="16"/>
      <c r="D117" s="16"/>
      <c r="E117" s="16"/>
      <c r="F117" s="209"/>
      <c r="G117" s="209"/>
      <c r="H117" s="209"/>
      <c r="I117" s="209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2:24">
      <c r="B118" s="16"/>
      <c r="C118" s="16"/>
      <c r="D118" s="16"/>
      <c r="E118" s="16"/>
      <c r="F118" s="209"/>
      <c r="G118" s="209"/>
      <c r="H118" s="209"/>
      <c r="I118" s="209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2:24">
      <c r="B119" s="16"/>
      <c r="C119" s="16"/>
      <c r="D119" s="16"/>
      <c r="E119" s="16"/>
      <c r="F119" s="209"/>
      <c r="G119" s="209"/>
      <c r="H119" s="209"/>
      <c r="I119" s="209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2:24">
      <c r="B120" s="16"/>
      <c r="C120" s="16"/>
      <c r="D120" s="16"/>
      <c r="E120" s="16"/>
      <c r="F120" s="209"/>
      <c r="G120" s="209"/>
      <c r="H120" s="209"/>
      <c r="I120" s="209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2:24">
      <c r="B121" s="16"/>
      <c r="C121" s="16"/>
      <c r="D121" s="16"/>
      <c r="E121" s="16"/>
      <c r="F121" s="209"/>
      <c r="G121" s="209"/>
      <c r="H121" s="209"/>
      <c r="I121" s="209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2:24">
      <c r="B122" s="16"/>
      <c r="C122" s="16"/>
      <c r="D122" s="16"/>
      <c r="E122" s="16"/>
      <c r="F122" s="209"/>
      <c r="G122" s="209"/>
      <c r="H122" s="209"/>
      <c r="I122" s="209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2:24">
      <c r="B123" s="16"/>
      <c r="C123" s="16"/>
      <c r="D123" s="16"/>
      <c r="E123" s="16"/>
      <c r="F123" s="209"/>
      <c r="G123" s="209"/>
      <c r="H123" s="209"/>
      <c r="I123" s="209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2:24">
      <c r="B124" s="16"/>
      <c r="C124" s="16"/>
      <c r="D124" s="16"/>
      <c r="E124" s="16"/>
      <c r="F124" s="209"/>
      <c r="G124" s="209"/>
      <c r="H124" s="209"/>
      <c r="I124" s="209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2:24">
      <c r="B125" s="16"/>
      <c r="C125" s="16"/>
      <c r="D125" s="16"/>
      <c r="E125" s="16"/>
      <c r="F125" s="209"/>
      <c r="G125" s="209"/>
      <c r="H125" s="209"/>
      <c r="I125" s="209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2:24">
      <c r="B126" s="16"/>
      <c r="C126" s="16"/>
      <c r="D126" s="16"/>
      <c r="E126" s="16"/>
      <c r="F126" s="209"/>
      <c r="G126" s="209"/>
      <c r="H126" s="209"/>
      <c r="I126" s="209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2:24">
      <c r="B127" s="16"/>
      <c r="C127" s="16"/>
      <c r="D127" s="16"/>
      <c r="E127" s="16"/>
      <c r="F127" s="209"/>
      <c r="G127" s="209"/>
      <c r="H127" s="209"/>
      <c r="I127" s="209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2:24">
      <c r="B128" s="16"/>
      <c r="C128" s="16"/>
      <c r="D128" s="16"/>
      <c r="E128" s="16"/>
      <c r="F128" s="209"/>
      <c r="G128" s="209"/>
      <c r="H128" s="209"/>
      <c r="I128" s="209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2:24">
      <c r="B129" s="16"/>
      <c r="C129" s="16"/>
      <c r="D129" s="16"/>
      <c r="E129" s="16"/>
      <c r="F129" s="209"/>
      <c r="G129" s="209"/>
      <c r="H129" s="209"/>
      <c r="I129" s="209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2:24">
      <c r="B130" s="16"/>
      <c r="C130" s="16"/>
      <c r="D130" s="16"/>
      <c r="E130" s="16"/>
      <c r="F130" s="209"/>
      <c r="G130" s="209"/>
      <c r="H130" s="209"/>
      <c r="I130" s="209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2:24">
      <c r="B131" s="16"/>
      <c r="C131" s="16"/>
      <c r="D131" s="16"/>
      <c r="E131" s="16"/>
      <c r="F131" s="209"/>
      <c r="G131" s="209"/>
      <c r="H131" s="209"/>
      <c r="I131" s="209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2:24">
      <c r="B132" s="16"/>
      <c r="C132" s="16"/>
      <c r="D132" s="16"/>
      <c r="E132" s="16"/>
      <c r="F132" s="209"/>
      <c r="G132" s="209"/>
      <c r="H132" s="209"/>
      <c r="I132" s="209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2:24">
      <c r="B133" s="16"/>
      <c r="C133" s="16"/>
      <c r="D133" s="16"/>
      <c r="E133" s="16"/>
      <c r="F133" s="209"/>
      <c r="G133" s="209"/>
      <c r="H133" s="209"/>
      <c r="I133" s="209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2:24">
      <c r="B134" s="16"/>
      <c r="C134" s="16"/>
      <c r="D134" s="16"/>
      <c r="E134" s="16"/>
      <c r="F134" s="209"/>
      <c r="G134" s="209"/>
      <c r="H134" s="209"/>
      <c r="I134" s="209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2:24">
      <c r="B135" s="16"/>
      <c r="C135" s="16"/>
      <c r="D135" s="16"/>
      <c r="E135" s="16"/>
      <c r="F135" s="209"/>
      <c r="G135" s="209"/>
      <c r="H135" s="209"/>
      <c r="I135" s="209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2:24">
      <c r="B136" s="16"/>
      <c r="C136" s="16"/>
      <c r="D136" s="16"/>
      <c r="E136" s="16"/>
      <c r="F136" s="209"/>
      <c r="G136" s="209"/>
      <c r="H136" s="209"/>
      <c r="I136" s="209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2:24">
      <c r="B137" s="16"/>
      <c r="C137" s="16"/>
      <c r="D137" s="16"/>
      <c r="E137" s="16"/>
      <c r="F137" s="209"/>
      <c r="G137" s="209"/>
      <c r="H137" s="209"/>
      <c r="I137" s="209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2:24">
      <c r="B138" s="16"/>
      <c r="C138" s="16"/>
      <c r="D138" s="16"/>
      <c r="E138" s="16"/>
      <c r="F138" s="209"/>
      <c r="G138" s="209"/>
      <c r="H138" s="209"/>
      <c r="I138" s="209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2:24">
      <c r="B139" s="16"/>
      <c r="C139" s="16"/>
      <c r="D139" s="16"/>
      <c r="E139" s="16"/>
      <c r="F139" s="209"/>
      <c r="G139" s="209"/>
      <c r="H139" s="209"/>
      <c r="I139" s="209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2:24">
      <c r="B140" s="16"/>
      <c r="C140" s="16"/>
      <c r="D140" s="16"/>
      <c r="E140" s="16"/>
      <c r="F140" s="209"/>
      <c r="G140" s="209"/>
      <c r="H140" s="209"/>
      <c r="I140" s="209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2:24">
      <c r="B141" s="16"/>
      <c r="C141" s="16"/>
      <c r="D141" s="16"/>
      <c r="E141" s="16"/>
      <c r="F141" s="209"/>
      <c r="G141" s="209"/>
      <c r="H141" s="209"/>
      <c r="I141" s="209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2:24">
      <c r="B142" s="16"/>
      <c r="C142" s="16"/>
      <c r="D142" s="16"/>
      <c r="E142" s="16"/>
      <c r="F142" s="209"/>
      <c r="G142" s="209"/>
      <c r="H142" s="209"/>
      <c r="I142" s="209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2:24">
      <c r="B143" s="16"/>
      <c r="C143" s="16"/>
      <c r="D143" s="16"/>
      <c r="E143" s="16"/>
      <c r="F143" s="209"/>
      <c r="G143" s="209"/>
      <c r="H143" s="209"/>
      <c r="I143" s="209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2:24">
      <c r="B144" s="16"/>
      <c r="C144" s="16"/>
      <c r="D144" s="16"/>
      <c r="E144" s="16"/>
      <c r="F144" s="209"/>
      <c r="G144" s="209"/>
      <c r="H144" s="209"/>
      <c r="I144" s="209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2:24">
      <c r="B145" s="16"/>
      <c r="C145" s="16"/>
      <c r="D145" s="16"/>
      <c r="E145" s="16"/>
      <c r="F145" s="209"/>
      <c r="G145" s="209"/>
      <c r="H145" s="209"/>
      <c r="I145" s="209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2:24">
      <c r="B146" s="16"/>
      <c r="C146" s="16"/>
      <c r="D146" s="16"/>
      <c r="E146" s="16"/>
      <c r="F146" s="209"/>
      <c r="G146" s="209"/>
      <c r="H146" s="209"/>
      <c r="I146" s="209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2:24">
      <c r="B147" s="16"/>
      <c r="C147" s="16"/>
      <c r="D147" s="16"/>
      <c r="E147" s="16"/>
      <c r="F147" s="209"/>
      <c r="G147" s="209"/>
      <c r="H147" s="209"/>
      <c r="I147" s="209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2:24">
      <c r="B148" s="16"/>
      <c r="C148" s="16"/>
      <c r="D148" s="16"/>
      <c r="E148" s="16"/>
      <c r="F148" s="209"/>
      <c r="G148" s="209"/>
      <c r="H148" s="209"/>
      <c r="I148" s="209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2:24">
      <c r="B149" s="16"/>
      <c r="C149" s="16"/>
      <c r="D149" s="16"/>
      <c r="E149" s="16"/>
      <c r="F149" s="209"/>
      <c r="G149" s="209"/>
      <c r="H149" s="209"/>
      <c r="I149" s="209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2:24">
      <c r="B150" s="16"/>
      <c r="C150" s="16"/>
      <c r="D150" s="16"/>
      <c r="E150" s="16"/>
      <c r="F150" s="209"/>
      <c r="G150" s="209"/>
      <c r="H150" s="209"/>
      <c r="I150" s="209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2:24">
      <c r="B151" s="16"/>
      <c r="C151" s="16"/>
      <c r="D151" s="16"/>
      <c r="E151" s="16"/>
      <c r="F151" s="209"/>
      <c r="G151" s="209"/>
      <c r="H151" s="209"/>
      <c r="I151" s="209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2:24">
      <c r="B152" s="16"/>
      <c r="C152" s="16"/>
      <c r="D152" s="16"/>
      <c r="E152" s="16"/>
      <c r="F152" s="209"/>
      <c r="G152" s="209"/>
      <c r="H152" s="209"/>
      <c r="I152" s="209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2:24">
      <c r="B153" s="16"/>
      <c r="C153" s="16"/>
      <c r="D153" s="16"/>
      <c r="E153" s="16"/>
      <c r="F153" s="209"/>
      <c r="G153" s="209"/>
      <c r="H153" s="209"/>
      <c r="I153" s="209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2:24">
      <c r="B154" s="16"/>
      <c r="C154" s="16"/>
      <c r="D154" s="16"/>
      <c r="E154" s="16"/>
      <c r="F154" s="209"/>
      <c r="G154" s="209"/>
      <c r="H154" s="209"/>
      <c r="I154" s="209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2:24">
      <c r="B155" s="16"/>
      <c r="C155" s="16"/>
      <c r="D155" s="16"/>
      <c r="E155" s="16"/>
      <c r="F155" s="209"/>
      <c r="G155" s="209"/>
      <c r="H155" s="209"/>
      <c r="I155" s="209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2:24">
      <c r="B156" s="16"/>
      <c r="C156" s="16"/>
      <c r="D156" s="16"/>
      <c r="E156" s="16"/>
      <c r="F156" s="209"/>
      <c r="G156" s="209"/>
      <c r="H156" s="209"/>
      <c r="I156" s="209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2:24">
      <c r="B157" s="16"/>
      <c r="C157" s="16"/>
      <c r="D157" s="16"/>
      <c r="E157" s="16"/>
      <c r="F157" s="209"/>
      <c r="G157" s="209"/>
      <c r="H157" s="209"/>
      <c r="I157" s="209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2:24">
      <c r="B158" s="16"/>
      <c r="C158" s="16"/>
      <c r="D158" s="16"/>
      <c r="E158" s="16"/>
      <c r="F158" s="209"/>
      <c r="G158" s="209"/>
      <c r="H158" s="209"/>
      <c r="I158" s="209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2:24">
      <c r="B159" s="16"/>
      <c r="C159" s="16"/>
      <c r="D159" s="16"/>
      <c r="E159" s="16"/>
      <c r="F159" s="209"/>
      <c r="G159" s="209"/>
      <c r="H159" s="209"/>
      <c r="I159" s="209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2:24">
      <c r="B160" s="16"/>
      <c r="C160" s="16"/>
      <c r="D160" s="16"/>
      <c r="E160" s="16"/>
      <c r="F160" s="209"/>
      <c r="G160" s="209"/>
      <c r="H160" s="209"/>
      <c r="I160" s="209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2:24">
      <c r="B161" s="16"/>
      <c r="C161" s="16"/>
      <c r="D161" s="16"/>
      <c r="E161" s="16"/>
      <c r="F161" s="209"/>
      <c r="G161" s="209"/>
      <c r="H161" s="209"/>
      <c r="I161" s="209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2:24">
      <c r="B162" s="16"/>
      <c r="C162" s="16"/>
      <c r="D162" s="16"/>
      <c r="E162" s="16"/>
      <c r="F162" s="209"/>
      <c r="G162" s="209"/>
      <c r="H162" s="209"/>
      <c r="I162" s="209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2:24">
      <c r="B163" s="16"/>
      <c r="C163" s="16"/>
      <c r="D163" s="16"/>
      <c r="E163" s="16"/>
      <c r="F163" s="209"/>
      <c r="G163" s="209"/>
      <c r="H163" s="209"/>
      <c r="I163" s="209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2:24">
      <c r="B164" s="16"/>
      <c r="C164" s="16"/>
      <c r="D164" s="16"/>
      <c r="E164" s="16"/>
      <c r="F164" s="209"/>
      <c r="G164" s="209"/>
      <c r="H164" s="209"/>
      <c r="I164" s="209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2:24">
      <c r="B165" s="16"/>
      <c r="C165" s="16"/>
      <c r="D165" s="16"/>
      <c r="E165" s="16"/>
      <c r="F165" s="209"/>
      <c r="G165" s="209"/>
      <c r="H165" s="209"/>
      <c r="I165" s="209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2:24">
      <c r="B166" s="16"/>
      <c r="C166" s="16"/>
      <c r="D166" s="16"/>
      <c r="E166" s="16"/>
      <c r="F166" s="209"/>
      <c r="G166" s="209"/>
      <c r="H166" s="209"/>
      <c r="I166" s="209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2:24">
      <c r="B167" s="16"/>
      <c r="C167" s="16"/>
      <c r="D167" s="16"/>
      <c r="E167" s="16"/>
      <c r="F167" s="209"/>
      <c r="G167" s="209"/>
      <c r="H167" s="209"/>
      <c r="I167" s="209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2:24">
      <c r="B168" s="16"/>
      <c r="C168" s="16"/>
      <c r="D168" s="16"/>
      <c r="E168" s="16"/>
      <c r="F168" s="209"/>
      <c r="G168" s="209"/>
      <c r="H168" s="209"/>
      <c r="I168" s="209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2:24">
      <c r="B169" s="16"/>
      <c r="C169" s="16"/>
      <c r="D169" s="16"/>
      <c r="E169" s="16"/>
      <c r="F169" s="209"/>
      <c r="G169" s="209"/>
      <c r="H169" s="209"/>
      <c r="I169" s="209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2:24">
      <c r="B170" s="16"/>
      <c r="C170" s="16"/>
      <c r="D170" s="16"/>
      <c r="E170" s="16"/>
      <c r="F170" s="209"/>
      <c r="G170" s="209"/>
      <c r="H170" s="209"/>
      <c r="I170" s="209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2:24">
      <c r="B171" s="16"/>
      <c r="C171" s="16"/>
      <c r="D171" s="16"/>
      <c r="E171" s="16"/>
      <c r="F171" s="209"/>
      <c r="G171" s="209"/>
      <c r="H171" s="209"/>
      <c r="I171" s="209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2:24">
      <c r="B172" s="16"/>
      <c r="C172" s="16"/>
      <c r="D172" s="16"/>
      <c r="E172" s="16"/>
      <c r="F172" s="209"/>
      <c r="G172" s="209"/>
      <c r="H172" s="209"/>
      <c r="I172" s="209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2:24">
      <c r="B173" s="16"/>
      <c r="C173" s="16"/>
      <c r="D173" s="16"/>
      <c r="E173" s="16"/>
      <c r="F173" s="209"/>
      <c r="G173" s="209"/>
      <c r="H173" s="209"/>
      <c r="I173" s="209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2:24">
      <c r="B174" s="16"/>
      <c r="C174" s="16"/>
      <c r="D174" s="16"/>
      <c r="E174" s="16"/>
      <c r="F174" s="209"/>
      <c r="G174" s="209"/>
      <c r="H174" s="209"/>
      <c r="I174" s="209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2:24">
      <c r="B175" s="16"/>
      <c r="C175" s="16"/>
      <c r="D175" s="16"/>
      <c r="E175" s="16"/>
      <c r="F175" s="209"/>
      <c r="G175" s="209"/>
      <c r="H175" s="209"/>
      <c r="I175" s="209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2:24">
      <c r="B176" s="16"/>
      <c r="C176" s="16"/>
      <c r="D176" s="16"/>
      <c r="E176" s="16"/>
      <c r="F176" s="209"/>
      <c r="G176" s="209"/>
      <c r="H176" s="209"/>
      <c r="I176" s="209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2:24">
      <c r="B177" s="16"/>
      <c r="C177" s="16"/>
      <c r="D177" s="16"/>
      <c r="E177" s="16"/>
      <c r="F177" s="209"/>
      <c r="G177" s="209"/>
      <c r="H177" s="209"/>
      <c r="I177" s="209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2:24">
      <c r="B178" s="16"/>
      <c r="C178" s="16"/>
      <c r="D178" s="16"/>
      <c r="E178" s="16"/>
      <c r="F178" s="209"/>
      <c r="G178" s="209"/>
      <c r="H178" s="209"/>
      <c r="I178" s="209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2:24">
      <c r="B179" s="16"/>
      <c r="C179" s="16"/>
      <c r="D179" s="16"/>
      <c r="E179" s="16"/>
      <c r="F179" s="209"/>
      <c r="G179" s="209"/>
      <c r="H179" s="209"/>
      <c r="I179" s="209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2:24">
      <c r="B180" s="16"/>
      <c r="C180" s="16"/>
      <c r="D180" s="16"/>
      <c r="E180" s="16"/>
      <c r="F180" s="209"/>
      <c r="G180" s="209"/>
      <c r="H180" s="209"/>
      <c r="I180" s="209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2:24">
      <c r="B181" s="16"/>
      <c r="C181" s="16"/>
      <c r="D181" s="16"/>
      <c r="E181" s="16"/>
      <c r="F181" s="209"/>
      <c r="G181" s="209"/>
      <c r="H181" s="209"/>
      <c r="I181" s="209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2:24">
      <c r="B182" s="16"/>
      <c r="C182" s="16"/>
      <c r="D182" s="16"/>
      <c r="E182" s="16"/>
      <c r="F182" s="209"/>
      <c r="G182" s="209"/>
      <c r="H182" s="209"/>
      <c r="I182" s="209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2:24">
      <c r="B183" s="16"/>
      <c r="C183" s="16"/>
      <c r="D183" s="16"/>
      <c r="E183" s="16"/>
      <c r="F183" s="209"/>
      <c r="G183" s="209"/>
      <c r="H183" s="209"/>
      <c r="I183" s="209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2:24">
      <c r="B184" s="16"/>
      <c r="C184" s="16"/>
      <c r="D184" s="16"/>
      <c r="E184" s="16"/>
      <c r="F184" s="209"/>
      <c r="G184" s="209"/>
      <c r="H184" s="209"/>
      <c r="I184" s="209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2:24">
      <c r="B185" s="16"/>
      <c r="C185" s="16"/>
      <c r="D185" s="16"/>
      <c r="E185" s="16"/>
      <c r="F185" s="209"/>
      <c r="G185" s="209"/>
      <c r="H185" s="209"/>
      <c r="I185" s="209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2:24">
      <c r="B186" s="16"/>
      <c r="C186" s="16"/>
      <c r="D186" s="16"/>
      <c r="E186" s="16"/>
      <c r="F186" s="209"/>
      <c r="G186" s="209"/>
      <c r="H186" s="209"/>
      <c r="I186" s="209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2:24">
      <c r="B187" s="16"/>
      <c r="C187" s="16"/>
      <c r="D187" s="16"/>
      <c r="E187" s="16"/>
      <c r="F187" s="209"/>
      <c r="G187" s="209"/>
      <c r="H187" s="209"/>
      <c r="I187" s="209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2:24">
      <c r="B188" s="16"/>
      <c r="C188" s="16"/>
      <c r="D188" s="16"/>
      <c r="E188" s="16"/>
      <c r="F188" s="209"/>
      <c r="G188" s="209"/>
      <c r="H188" s="209"/>
      <c r="I188" s="209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2:24">
      <c r="B189" s="16"/>
      <c r="C189" s="16"/>
      <c r="D189" s="16"/>
      <c r="E189" s="16"/>
      <c r="F189" s="209"/>
      <c r="G189" s="209"/>
      <c r="H189" s="209"/>
      <c r="I189" s="209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2:24">
      <c r="B190" s="16"/>
      <c r="C190" s="16"/>
      <c r="D190" s="16"/>
      <c r="E190" s="16"/>
      <c r="F190" s="209"/>
      <c r="G190" s="209"/>
      <c r="H190" s="209"/>
      <c r="I190" s="209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2:24">
      <c r="B191" s="16"/>
      <c r="C191" s="16"/>
      <c r="D191" s="16"/>
      <c r="E191" s="16"/>
      <c r="F191" s="209"/>
      <c r="G191" s="209"/>
      <c r="H191" s="209"/>
      <c r="I191" s="209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2:24">
      <c r="B192" s="16"/>
      <c r="C192" s="16"/>
      <c r="D192" s="16"/>
      <c r="E192" s="16"/>
      <c r="F192" s="209"/>
      <c r="G192" s="209"/>
      <c r="H192" s="209"/>
      <c r="I192" s="209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2:24">
      <c r="B193" s="16"/>
      <c r="C193" s="16"/>
      <c r="D193" s="16"/>
      <c r="E193" s="16"/>
      <c r="F193" s="209"/>
      <c r="G193" s="209"/>
      <c r="H193" s="209"/>
      <c r="I193" s="209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2:24">
      <c r="B194" s="16"/>
      <c r="C194" s="16"/>
      <c r="D194" s="16"/>
      <c r="E194" s="16"/>
      <c r="F194" s="209"/>
      <c r="G194" s="209"/>
      <c r="H194" s="209"/>
      <c r="I194" s="209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2:24">
      <c r="B195" s="16"/>
      <c r="C195" s="16"/>
      <c r="D195" s="16"/>
      <c r="E195" s="16"/>
      <c r="F195" s="209"/>
      <c r="G195" s="209"/>
      <c r="H195" s="209"/>
      <c r="I195" s="209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2:24">
      <c r="B196" s="16"/>
      <c r="C196" s="16"/>
      <c r="D196" s="16"/>
      <c r="E196" s="16"/>
      <c r="F196" s="209"/>
      <c r="G196" s="209"/>
      <c r="H196" s="209"/>
      <c r="I196" s="209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2:24">
      <c r="B197" s="16"/>
      <c r="C197" s="16"/>
      <c r="D197" s="16"/>
      <c r="E197" s="16"/>
      <c r="F197" s="209"/>
      <c r="G197" s="209"/>
      <c r="H197" s="209"/>
      <c r="I197" s="209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2:24">
      <c r="B198" s="16"/>
      <c r="C198" s="16"/>
      <c r="D198" s="16"/>
      <c r="E198" s="16"/>
      <c r="F198" s="209"/>
      <c r="G198" s="209"/>
      <c r="H198" s="209"/>
      <c r="I198" s="209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2:24">
      <c r="B199" s="16"/>
      <c r="C199" s="16"/>
      <c r="D199" s="16"/>
      <c r="E199" s="16"/>
      <c r="F199" s="209"/>
      <c r="G199" s="209"/>
      <c r="H199" s="209"/>
      <c r="I199" s="209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2:24">
      <c r="B200" s="16"/>
      <c r="C200" s="16"/>
      <c r="D200" s="16"/>
      <c r="E200" s="16"/>
      <c r="F200" s="209"/>
      <c r="G200" s="209"/>
      <c r="H200" s="209"/>
      <c r="I200" s="209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2:24">
      <c r="B201" s="16"/>
      <c r="C201" s="16"/>
      <c r="D201" s="16"/>
      <c r="E201" s="16"/>
      <c r="F201" s="209"/>
      <c r="G201" s="209"/>
      <c r="H201" s="209"/>
      <c r="I201" s="209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2:24">
      <c r="B202" s="16"/>
      <c r="C202" s="16"/>
      <c r="D202" s="16"/>
      <c r="E202" s="16"/>
      <c r="F202" s="209"/>
      <c r="G202" s="209"/>
      <c r="H202" s="209"/>
      <c r="I202" s="209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2:24">
      <c r="B203" s="16"/>
      <c r="C203" s="16"/>
      <c r="D203" s="16"/>
      <c r="E203" s="16"/>
      <c r="F203" s="209"/>
      <c r="G203" s="209"/>
      <c r="H203" s="209"/>
      <c r="I203" s="209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2:24">
      <c r="B204" s="16"/>
      <c r="C204" s="16"/>
      <c r="D204" s="16"/>
      <c r="E204" s="16"/>
      <c r="F204" s="209"/>
      <c r="G204" s="209"/>
      <c r="H204" s="209"/>
      <c r="I204" s="209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2:24">
      <c r="B205" s="16"/>
      <c r="C205" s="16"/>
      <c r="D205" s="16"/>
      <c r="E205" s="16"/>
      <c r="F205" s="209"/>
      <c r="G205" s="209"/>
      <c r="H205" s="209"/>
      <c r="I205" s="209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2:24">
      <c r="B206" s="16"/>
      <c r="C206" s="16"/>
      <c r="D206" s="16"/>
      <c r="E206" s="16"/>
      <c r="F206" s="209"/>
      <c r="G206" s="209"/>
      <c r="H206" s="209"/>
      <c r="I206" s="209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2:24">
      <c r="B207" s="16"/>
      <c r="C207" s="16"/>
      <c r="D207" s="16"/>
      <c r="E207" s="16"/>
      <c r="F207" s="209"/>
      <c r="G207" s="209"/>
      <c r="H207" s="209"/>
      <c r="I207" s="209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2:24">
      <c r="B208" s="16"/>
      <c r="C208" s="16"/>
      <c r="D208" s="16"/>
      <c r="E208" s="16"/>
      <c r="F208" s="209"/>
      <c r="G208" s="209"/>
      <c r="H208" s="209"/>
      <c r="I208" s="209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2:24">
      <c r="B209" s="16"/>
      <c r="C209" s="16"/>
      <c r="D209" s="16"/>
      <c r="E209" s="16"/>
      <c r="F209" s="209"/>
      <c r="G209" s="209"/>
      <c r="H209" s="209"/>
      <c r="I209" s="209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2:24">
      <c r="B210" s="16"/>
      <c r="C210" s="16"/>
      <c r="D210" s="16"/>
      <c r="E210" s="16"/>
      <c r="F210" s="209"/>
      <c r="G210" s="209"/>
      <c r="H210" s="209"/>
      <c r="I210" s="209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2:24">
      <c r="B211" s="16"/>
      <c r="C211" s="16"/>
      <c r="D211" s="16"/>
      <c r="E211" s="16"/>
      <c r="F211" s="209"/>
      <c r="G211" s="209"/>
      <c r="H211" s="209"/>
      <c r="I211" s="209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2:24">
      <c r="B212" s="16"/>
      <c r="C212" s="16"/>
      <c r="D212" s="16"/>
      <c r="E212" s="16"/>
      <c r="F212" s="209"/>
      <c r="G212" s="209"/>
      <c r="H212" s="209"/>
      <c r="I212" s="209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2:24">
      <c r="B213" s="16"/>
      <c r="C213" s="16"/>
      <c r="D213" s="16"/>
      <c r="E213" s="16"/>
      <c r="F213" s="209"/>
      <c r="G213" s="209"/>
      <c r="H213" s="209"/>
      <c r="I213" s="209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2:24">
      <c r="B214" s="16"/>
      <c r="C214" s="16"/>
      <c r="D214" s="16"/>
      <c r="E214" s="16"/>
      <c r="F214" s="209"/>
      <c r="G214" s="209"/>
      <c r="H214" s="209"/>
      <c r="I214" s="209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2:24">
      <c r="B215" s="16"/>
      <c r="C215" s="16"/>
      <c r="D215" s="16"/>
      <c r="E215" s="16"/>
      <c r="F215" s="209"/>
      <c r="G215" s="209"/>
      <c r="H215" s="209"/>
      <c r="I215" s="209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2:24">
      <c r="B216" s="16"/>
      <c r="C216" s="16"/>
      <c r="D216" s="16"/>
      <c r="E216" s="16"/>
      <c r="F216" s="209"/>
      <c r="G216" s="209"/>
      <c r="H216" s="209"/>
      <c r="I216" s="209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2:24">
      <c r="B217" s="16"/>
      <c r="C217" s="16"/>
      <c r="D217" s="16"/>
      <c r="E217" s="16"/>
      <c r="F217" s="209"/>
      <c r="G217" s="209"/>
      <c r="H217" s="209"/>
      <c r="I217" s="209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2:24">
      <c r="B218" s="16"/>
      <c r="C218" s="16"/>
      <c r="D218" s="16"/>
      <c r="E218" s="16"/>
      <c r="F218" s="209"/>
      <c r="G218" s="209"/>
      <c r="H218" s="209"/>
      <c r="I218" s="209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2:24">
      <c r="B219" s="16"/>
      <c r="C219" s="16"/>
      <c r="D219" s="16"/>
      <c r="E219" s="16"/>
      <c r="F219" s="209"/>
      <c r="G219" s="209"/>
      <c r="H219" s="209"/>
      <c r="I219" s="209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2:24">
      <c r="B220" s="16"/>
      <c r="C220" s="16"/>
      <c r="D220" s="16"/>
      <c r="E220" s="16"/>
      <c r="F220" s="209"/>
      <c r="G220" s="209"/>
      <c r="H220" s="209"/>
      <c r="I220" s="209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2:24">
      <c r="B221" s="16"/>
      <c r="C221" s="16"/>
      <c r="D221" s="16"/>
      <c r="E221" s="16"/>
      <c r="F221" s="209"/>
      <c r="G221" s="209"/>
      <c r="H221" s="209"/>
      <c r="I221" s="209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2:24">
      <c r="B222" s="16"/>
      <c r="C222" s="16"/>
      <c r="D222" s="16"/>
      <c r="E222" s="16"/>
      <c r="F222" s="209"/>
      <c r="G222" s="209"/>
      <c r="H222" s="209"/>
      <c r="I222" s="209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2:24">
      <c r="B223" s="16"/>
      <c r="C223" s="16"/>
      <c r="D223" s="16"/>
      <c r="E223" s="16"/>
      <c r="F223" s="209"/>
      <c r="G223" s="209"/>
      <c r="H223" s="209"/>
      <c r="I223" s="209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2:24">
      <c r="B224" s="16"/>
      <c r="C224" s="16"/>
      <c r="D224" s="16"/>
      <c r="E224" s="16"/>
      <c r="F224" s="209"/>
      <c r="G224" s="209"/>
      <c r="H224" s="209"/>
      <c r="I224" s="209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2:24">
      <c r="B225" s="16"/>
      <c r="C225" s="16"/>
      <c r="D225" s="16"/>
      <c r="E225" s="16"/>
      <c r="F225" s="209"/>
      <c r="G225" s="209"/>
      <c r="H225" s="209"/>
      <c r="I225" s="209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2:24">
      <c r="B226" s="16"/>
      <c r="C226" s="16"/>
      <c r="D226" s="16"/>
      <c r="E226" s="16"/>
      <c r="F226" s="209"/>
      <c r="G226" s="209"/>
      <c r="H226" s="209"/>
      <c r="I226" s="209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2:24">
      <c r="B227" s="16"/>
      <c r="C227" s="16"/>
      <c r="D227" s="16"/>
      <c r="E227" s="16"/>
      <c r="F227" s="209"/>
      <c r="G227" s="209"/>
      <c r="H227" s="209"/>
      <c r="I227" s="209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2:24">
      <c r="B228" s="16"/>
      <c r="C228" s="16"/>
      <c r="D228" s="16"/>
      <c r="E228" s="16"/>
      <c r="F228" s="209"/>
      <c r="G228" s="209"/>
      <c r="H228" s="209"/>
      <c r="I228" s="209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2:24">
      <c r="B229" s="16"/>
      <c r="C229" s="16"/>
      <c r="D229" s="16"/>
      <c r="E229" s="16"/>
      <c r="F229" s="209"/>
      <c r="G229" s="209"/>
      <c r="H229" s="209"/>
      <c r="I229" s="209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2:24">
      <c r="B230" s="16"/>
      <c r="C230" s="16"/>
      <c r="D230" s="16"/>
      <c r="E230" s="16"/>
      <c r="F230" s="209"/>
      <c r="G230" s="209"/>
      <c r="H230" s="209"/>
      <c r="I230" s="209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2:24">
      <c r="B231" s="16"/>
      <c r="C231" s="16"/>
      <c r="D231" s="16"/>
      <c r="E231" s="16"/>
      <c r="F231" s="209"/>
      <c r="G231" s="209"/>
      <c r="H231" s="209"/>
      <c r="I231" s="209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2:24">
      <c r="B232" s="16"/>
      <c r="C232" s="16"/>
      <c r="D232" s="16"/>
      <c r="E232" s="16"/>
      <c r="F232" s="209"/>
      <c r="G232" s="209"/>
      <c r="H232" s="209"/>
      <c r="I232" s="209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2:24">
      <c r="B233" s="16"/>
      <c r="C233" s="16"/>
      <c r="D233" s="16"/>
      <c r="E233" s="16"/>
      <c r="F233" s="209"/>
      <c r="G233" s="209"/>
      <c r="H233" s="209"/>
      <c r="I233" s="209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 spans="2:24">
      <c r="B234" s="16"/>
      <c r="C234" s="16"/>
      <c r="D234" s="16"/>
      <c r="E234" s="16"/>
      <c r="F234" s="209"/>
      <c r="G234" s="209"/>
      <c r="H234" s="209"/>
      <c r="I234" s="209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 spans="2:24">
      <c r="B235" s="16"/>
      <c r="C235" s="16"/>
      <c r="D235" s="16"/>
      <c r="E235" s="16"/>
      <c r="F235" s="209"/>
      <c r="G235" s="209"/>
      <c r="H235" s="209"/>
      <c r="I235" s="209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 spans="2:24">
      <c r="B236" s="16"/>
      <c r="C236" s="16"/>
      <c r="D236" s="16"/>
      <c r="E236" s="16"/>
      <c r="F236" s="209"/>
      <c r="G236" s="209"/>
      <c r="H236" s="209"/>
      <c r="I236" s="209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 spans="2:24">
      <c r="B237" s="16"/>
      <c r="C237" s="16"/>
      <c r="D237" s="16"/>
      <c r="E237" s="16"/>
      <c r="F237" s="209"/>
      <c r="G237" s="209"/>
      <c r="H237" s="209"/>
      <c r="I237" s="209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 spans="2:24">
      <c r="B238" s="16"/>
      <c r="C238" s="16"/>
      <c r="D238" s="16"/>
      <c r="E238" s="16"/>
      <c r="F238" s="209"/>
      <c r="G238" s="209"/>
      <c r="H238" s="209"/>
      <c r="I238" s="209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 spans="2:24">
      <c r="B239" s="16"/>
      <c r="C239" s="16"/>
      <c r="D239" s="16"/>
      <c r="E239" s="16"/>
      <c r="F239" s="209"/>
      <c r="G239" s="209"/>
      <c r="H239" s="209"/>
      <c r="I239" s="209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 spans="2:24">
      <c r="B240" s="16"/>
      <c r="C240" s="16"/>
      <c r="D240" s="16"/>
      <c r="E240" s="16"/>
      <c r="F240" s="209"/>
      <c r="G240" s="209"/>
      <c r="H240" s="209"/>
      <c r="I240" s="209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 spans="2:24">
      <c r="B241" s="16"/>
      <c r="C241" s="16"/>
      <c r="D241" s="16"/>
      <c r="E241" s="16"/>
      <c r="F241" s="209"/>
      <c r="G241" s="209"/>
      <c r="H241" s="209"/>
      <c r="I241" s="209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 spans="2:24">
      <c r="B242" s="16"/>
      <c r="C242" s="16"/>
      <c r="D242" s="16"/>
      <c r="E242" s="16"/>
      <c r="F242" s="209"/>
      <c r="G242" s="209"/>
      <c r="H242" s="209"/>
      <c r="I242" s="209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 spans="2:24">
      <c r="B243" s="16"/>
      <c r="C243" s="16"/>
      <c r="D243" s="16"/>
      <c r="E243" s="16"/>
      <c r="F243" s="209"/>
      <c r="G243" s="209"/>
      <c r="H243" s="209"/>
      <c r="I243" s="209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 spans="2:24">
      <c r="B244" s="16"/>
      <c r="C244" s="16"/>
      <c r="D244" s="16"/>
      <c r="E244" s="16"/>
      <c r="F244" s="209"/>
      <c r="G244" s="209"/>
      <c r="H244" s="209"/>
      <c r="I244" s="209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 spans="2:24">
      <c r="B245" s="16"/>
      <c r="C245" s="16"/>
      <c r="D245" s="16"/>
      <c r="E245" s="16"/>
      <c r="F245" s="209"/>
      <c r="G245" s="209"/>
      <c r="H245" s="209"/>
      <c r="I245" s="209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 spans="2:24">
      <c r="B246" s="16"/>
      <c r="C246" s="16"/>
      <c r="D246" s="16"/>
      <c r="E246" s="16"/>
      <c r="F246" s="209"/>
      <c r="G246" s="209"/>
      <c r="H246" s="209"/>
      <c r="I246" s="209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 spans="2:24">
      <c r="B247" s="16"/>
      <c r="C247" s="16"/>
      <c r="D247" s="16"/>
      <c r="E247" s="16"/>
      <c r="F247" s="209"/>
      <c r="G247" s="209"/>
      <c r="H247" s="209"/>
      <c r="I247" s="209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 spans="2:24">
      <c r="B248" s="16"/>
      <c r="C248" s="16"/>
      <c r="D248" s="16"/>
      <c r="E248" s="16"/>
      <c r="F248" s="209"/>
      <c r="G248" s="209"/>
      <c r="H248" s="209"/>
      <c r="I248" s="209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 spans="2:24">
      <c r="B249" s="16"/>
      <c r="C249" s="16"/>
      <c r="D249" s="16"/>
      <c r="E249" s="16"/>
      <c r="F249" s="209"/>
      <c r="G249" s="209"/>
      <c r="H249" s="209"/>
      <c r="I249" s="209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 spans="2:24">
      <c r="B250" s="16"/>
      <c r="C250" s="16"/>
      <c r="D250" s="16"/>
      <c r="E250" s="16"/>
      <c r="F250" s="209"/>
      <c r="G250" s="209"/>
      <c r="H250" s="209"/>
      <c r="I250" s="209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 spans="2:24">
      <c r="B251" s="16"/>
      <c r="C251" s="16"/>
      <c r="D251" s="16"/>
      <c r="E251" s="16"/>
      <c r="F251" s="209"/>
      <c r="G251" s="209"/>
      <c r="H251" s="209"/>
      <c r="I251" s="209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 spans="2:24">
      <c r="B252" s="16"/>
      <c r="C252" s="16"/>
      <c r="D252" s="16"/>
      <c r="E252" s="16"/>
      <c r="F252" s="209"/>
      <c r="G252" s="209"/>
      <c r="H252" s="209"/>
      <c r="I252" s="209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 spans="2:24">
      <c r="B253" s="16"/>
      <c r="C253" s="16"/>
      <c r="D253" s="16"/>
      <c r="E253" s="16"/>
      <c r="F253" s="209"/>
      <c r="G253" s="209"/>
      <c r="H253" s="209"/>
      <c r="I253" s="209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 spans="2:24">
      <c r="B254" s="16"/>
      <c r="C254" s="16"/>
      <c r="D254" s="16"/>
      <c r="E254" s="16"/>
      <c r="F254" s="209"/>
      <c r="G254" s="209"/>
      <c r="H254" s="209"/>
      <c r="I254" s="209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spans="2:24">
      <c r="B255" s="16"/>
      <c r="C255" s="16"/>
      <c r="D255" s="16"/>
      <c r="E255" s="16"/>
      <c r="F255" s="209"/>
      <c r="G255" s="209"/>
      <c r="H255" s="209"/>
      <c r="I255" s="209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 spans="2:24">
      <c r="B256" s="16"/>
      <c r="C256" s="16"/>
      <c r="D256" s="16"/>
      <c r="E256" s="16"/>
      <c r="F256" s="209"/>
      <c r="G256" s="209"/>
      <c r="H256" s="209"/>
      <c r="I256" s="209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 spans="2:24">
      <c r="B257" s="16"/>
      <c r="C257" s="16"/>
      <c r="D257" s="16"/>
      <c r="E257" s="16"/>
      <c r="F257" s="209"/>
      <c r="G257" s="209"/>
      <c r="H257" s="209"/>
      <c r="I257" s="209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 spans="2:24">
      <c r="B258" s="16"/>
      <c r="C258" s="16"/>
      <c r="D258" s="16"/>
      <c r="E258" s="16"/>
      <c r="F258" s="209"/>
      <c r="G258" s="209"/>
      <c r="H258" s="209"/>
      <c r="I258" s="209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 spans="2:24">
      <c r="B259" s="16"/>
      <c r="C259" s="16"/>
      <c r="D259" s="16"/>
      <c r="E259" s="16"/>
      <c r="F259" s="209"/>
      <c r="G259" s="209"/>
      <c r="H259" s="209"/>
      <c r="I259" s="209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 spans="2:24">
      <c r="B260" s="16"/>
      <c r="C260" s="16"/>
      <c r="D260" s="16"/>
      <c r="E260" s="16"/>
      <c r="F260" s="209"/>
      <c r="G260" s="209"/>
      <c r="H260" s="209"/>
      <c r="I260" s="209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 spans="2:24">
      <c r="B261" s="16"/>
      <c r="C261" s="16"/>
      <c r="D261" s="16"/>
      <c r="E261" s="16"/>
      <c r="F261" s="209"/>
      <c r="G261" s="209"/>
      <c r="H261" s="209"/>
      <c r="I261" s="209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 spans="2:24">
      <c r="B262" s="16"/>
      <c r="C262" s="16"/>
      <c r="D262" s="16"/>
      <c r="E262" s="16"/>
      <c r="F262" s="209"/>
      <c r="G262" s="209"/>
      <c r="H262" s="209"/>
      <c r="I262" s="209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 spans="2:24">
      <c r="B263" s="16"/>
      <c r="C263" s="16"/>
      <c r="D263" s="16"/>
      <c r="E263" s="16"/>
      <c r="F263" s="209"/>
      <c r="G263" s="209"/>
      <c r="H263" s="209"/>
      <c r="I263" s="209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 spans="2:24">
      <c r="B264" s="16"/>
      <c r="C264" s="16"/>
      <c r="D264" s="16"/>
      <c r="E264" s="16"/>
      <c r="F264" s="209"/>
      <c r="G264" s="209"/>
      <c r="H264" s="209"/>
      <c r="I264" s="209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 spans="2:24">
      <c r="B265" s="16"/>
      <c r="C265" s="16"/>
      <c r="D265" s="16"/>
      <c r="E265" s="16"/>
      <c r="F265" s="209"/>
      <c r="G265" s="209"/>
      <c r="H265" s="209"/>
      <c r="I265" s="209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 spans="2:24">
      <c r="B266" s="16"/>
      <c r="C266" s="16"/>
      <c r="D266" s="16"/>
      <c r="E266" s="16"/>
      <c r="F266" s="209"/>
      <c r="G266" s="209"/>
      <c r="H266" s="209"/>
      <c r="I266" s="209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 spans="2:24">
      <c r="B267" s="16"/>
      <c r="C267" s="16"/>
      <c r="D267" s="16"/>
      <c r="E267" s="16"/>
      <c r="F267" s="209"/>
      <c r="G267" s="209"/>
      <c r="H267" s="209"/>
      <c r="I267" s="209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 spans="2:24">
      <c r="B268" s="16"/>
      <c r="C268" s="16"/>
      <c r="D268" s="16"/>
      <c r="E268" s="16"/>
      <c r="F268" s="209"/>
      <c r="G268" s="209"/>
      <c r="H268" s="209"/>
      <c r="I268" s="209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 spans="2:24">
      <c r="B269" s="16"/>
      <c r="C269" s="16"/>
      <c r="D269" s="16"/>
      <c r="E269" s="16"/>
      <c r="F269" s="209"/>
      <c r="G269" s="209"/>
      <c r="H269" s="209"/>
      <c r="I269" s="209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 spans="2:24">
      <c r="B270" s="16"/>
      <c r="C270" s="16"/>
      <c r="D270" s="16"/>
      <c r="E270" s="16"/>
      <c r="F270" s="209"/>
      <c r="G270" s="209"/>
      <c r="H270" s="209"/>
      <c r="I270" s="209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 spans="2:24">
      <c r="B271" s="16"/>
      <c r="C271" s="16"/>
      <c r="D271" s="16"/>
      <c r="E271" s="16"/>
      <c r="F271" s="209"/>
      <c r="G271" s="209"/>
      <c r="H271" s="209"/>
      <c r="I271" s="209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 spans="2:24">
      <c r="B272" s="16"/>
      <c r="C272" s="16"/>
      <c r="D272" s="16"/>
      <c r="E272" s="16"/>
      <c r="F272" s="209"/>
      <c r="G272" s="209"/>
      <c r="H272" s="209"/>
      <c r="I272" s="209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 spans="2:24">
      <c r="B273" s="16"/>
      <c r="C273" s="16"/>
      <c r="D273" s="16"/>
      <c r="E273" s="16"/>
      <c r="F273" s="209"/>
      <c r="G273" s="209"/>
      <c r="H273" s="209"/>
      <c r="I273" s="209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 spans="2:24">
      <c r="B274" s="16"/>
      <c r="C274" s="16"/>
      <c r="D274" s="16"/>
      <c r="E274" s="16"/>
      <c r="F274" s="209"/>
      <c r="G274" s="209"/>
      <c r="H274" s="209"/>
      <c r="I274" s="209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 spans="2:24">
      <c r="B275" s="16"/>
      <c r="C275" s="16"/>
      <c r="D275" s="16"/>
      <c r="E275" s="16"/>
      <c r="F275" s="209"/>
      <c r="G275" s="209"/>
      <c r="H275" s="209"/>
      <c r="I275" s="209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 spans="2:24">
      <c r="B276" s="16"/>
      <c r="C276" s="16"/>
      <c r="D276" s="16"/>
      <c r="E276" s="16"/>
      <c r="F276" s="209"/>
      <c r="G276" s="209"/>
      <c r="H276" s="209"/>
      <c r="I276" s="209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 spans="2:24">
      <c r="B277" s="16"/>
      <c r="C277" s="16"/>
      <c r="D277" s="16"/>
      <c r="E277" s="16"/>
      <c r="F277" s="209"/>
      <c r="G277" s="209"/>
      <c r="H277" s="209"/>
      <c r="I277" s="209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 spans="2:24">
      <c r="B278" s="16"/>
      <c r="C278" s="16"/>
      <c r="D278" s="16"/>
      <c r="E278" s="16"/>
      <c r="F278" s="209"/>
      <c r="G278" s="209"/>
      <c r="H278" s="209"/>
      <c r="I278" s="209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 spans="2:24">
      <c r="B279" s="16"/>
      <c r="C279" s="16"/>
      <c r="D279" s="16"/>
      <c r="E279" s="16"/>
      <c r="F279" s="209"/>
      <c r="G279" s="209"/>
      <c r="H279" s="209"/>
      <c r="I279" s="209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 spans="2:24">
      <c r="B280" s="16"/>
      <c r="C280" s="16"/>
      <c r="D280" s="16"/>
      <c r="E280" s="16"/>
      <c r="F280" s="209"/>
      <c r="G280" s="209"/>
      <c r="H280" s="209"/>
      <c r="I280" s="209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 spans="2:24">
      <c r="B281" s="16"/>
      <c r="C281" s="16"/>
      <c r="D281" s="16"/>
      <c r="E281" s="16"/>
      <c r="F281" s="209"/>
      <c r="G281" s="209"/>
      <c r="H281" s="209"/>
      <c r="I281" s="209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 spans="2:24">
      <c r="B282" s="16"/>
      <c r="C282" s="16"/>
      <c r="D282" s="16"/>
      <c r="E282" s="16"/>
      <c r="F282" s="209"/>
      <c r="G282" s="209"/>
      <c r="H282" s="209"/>
      <c r="I282" s="209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 spans="2:24">
      <c r="B283" s="16"/>
      <c r="C283" s="16"/>
      <c r="D283" s="16"/>
      <c r="E283" s="16"/>
      <c r="F283" s="209"/>
      <c r="G283" s="209"/>
      <c r="H283" s="209"/>
      <c r="I283" s="209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 spans="2:24">
      <c r="B284" s="16"/>
      <c r="C284" s="16"/>
      <c r="D284" s="16"/>
      <c r="E284" s="16"/>
      <c r="F284" s="209"/>
      <c r="G284" s="209"/>
      <c r="H284" s="209"/>
      <c r="I284" s="209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 spans="2:24">
      <c r="B285" s="16"/>
      <c r="C285" s="16"/>
      <c r="D285" s="16"/>
      <c r="E285" s="16"/>
      <c r="F285" s="209"/>
      <c r="G285" s="209"/>
      <c r="H285" s="209"/>
      <c r="I285" s="209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 spans="2:24">
      <c r="B286" s="16"/>
      <c r="C286" s="16"/>
      <c r="D286" s="16"/>
      <c r="E286" s="16"/>
      <c r="F286" s="209"/>
      <c r="G286" s="209"/>
      <c r="H286" s="209"/>
      <c r="I286" s="209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 spans="2:24">
      <c r="B287" s="16"/>
      <c r="C287" s="16"/>
      <c r="D287" s="16"/>
      <c r="E287" s="16"/>
      <c r="F287" s="209"/>
      <c r="G287" s="209"/>
      <c r="H287" s="209"/>
      <c r="I287" s="209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 spans="2:24">
      <c r="B288" s="16"/>
      <c r="C288" s="16"/>
      <c r="D288" s="16"/>
      <c r="E288" s="16"/>
      <c r="F288" s="209"/>
      <c r="G288" s="209"/>
      <c r="H288" s="209"/>
      <c r="I288" s="209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 spans="2:24">
      <c r="B289" s="16"/>
      <c r="C289" s="16"/>
      <c r="D289" s="16"/>
      <c r="E289" s="16"/>
      <c r="F289" s="209"/>
      <c r="G289" s="209"/>
      <c r="H289" s="209"/>
      <c r="I289" s="209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 spans="2:24">
      <c r="B290" s="16"/>
      <c r="C290" s="16"/>
      <c r="D290" s="16"/>
      <c r="E290" s="16"/>
      <c r="F290" s="209"/>
      <c r="G290" s="209"/>
      <c r="H290" s="209"/>
      <c r="I290" s="209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 spans="2:24">
      <c r="B291" s="16"/>
      <c r="C291" s="16"/>
      <c r="D291" s="16"/>
      <c r="E291" s="16"/>
      <c r="F291" s="209"/>
      <c r="G291" s="209"/>
      <c r="H291" s="209"/>
      <c r="I291" s="209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 spans="2:24">
      <c r="B292" s="16"/>
      <c r="C292" s="16"/>
      <c r="D292" s="16"/>
      <c r="E292" s="16"/>
      <c r="F292" s="209"/>
      <c r="G292" s="209"/>
      <c r="H292" s="209"/>
      <c r="I292" s="209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 spans="2:24">
      <c r="B293" s="16"/>
      <c r="C293" s="16"/>
      <c r="D293" s="16"/>
      <c r="E293" s="16"/>
      <c r="F293" s="209"/>
      <c r="G293" s="209"/>
      <c r="H293" s="209"/>
      <c r="I293" s="209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 spans="2:24">
      <c r="B294" s="16"/>
      <c r="C294" s="16"/>
      <c r="D294" s="16"/>
      <c r="E294" s="16"/>
      <c r="F294" s="209"/>
      <c r="G294" s="209"/>
      <c r="H294" s="209"/>
      <c r="I294" s="209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 spans="2:24">
      <c r="B295" s="16"/>
      <c r="C295" s="16"/>
      <c r="D295" s="16"/>
      <c r="E295" s="16"/>
      <c r="F295" s="209"/>
      <c r="G295" s="209"/>
      <c r="H295" s="209"/>
      <c r="I295" s="209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 spans="2:24">
      <c r="B296" s="16"/>
      <c r="C296" s="16"/>
      <c r="D296" s="16"/>
      <c r="E296" s="16"/>
      <c r="F296" s="209"/>
      <c r="G296" s="209"/>
      <c r="H296" s="209"/>
      <c r="I296" s="209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 spans="2:24">
      <c r="B297" s="16"/>
      <c r="C297" s="16"/>
      <c r="D297" s="16"/>
      <c r="E297" s="16"/>
      <c r="F297" s="209"/>
      <c r="G297" s="209"/>
      <c r="H297" s="209"/>
      <c r="I297" s="209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 spans="2:24">
      <c r="B298" s="16"/>
      <c r="C298" s="16"/>
      <c r="D298" s="16"/>
      <c r="E298" s="16"/>
      <c r="F298" s="209"/>
      <c r="G298" s="209"/>
      <c r="H298" s="209"/>
      <c r="I298" s="209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 spans="2:24">
      <c r="B299" s="16"/>
      <c r="C299" s="16"/>
      <c r="D299" s="16"/>
      <c r="E299" s="16"/>
      <c r="F299" s="209"/>
      <c r="G299" s="209"/>
      <c r="H299" s="209"/>
      <c r="I299" s="209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 spans="2:24">
      <c r="B300" s="16"/>
      <c r="C300" s="16"/>
      <c r="D300" s="16"/>
      <c r="E300" s="16"/>
      <c r="F300" s="209"/>
      <c r="G300" s="209"/>
      <c r="H300" s="209"/>
      <c r="I300" s="209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 spans="2:24">
      <c r="B301" s="16"/>
      <c r="C301" s="16"/>
      <c r="D301" s="16"/>
      <c r="E301" s="16"/>
      <c r="F301" s="209"/>
      <c r="G301" s="209"/>
      <c r="H301" s="209"/>
      <c r="I301" s="209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 spans="2:24">
      <c r="B302" s="16"/>
      <c r="C302" s="16"/>
      <c r="D302" s="16"/>
      <c r="E302" s="16"/>
      <c r="F302" s="209"/>
      <c r="G302" s="209"/>
      <c r="H302" s="209"/>
      <c r="I302" s="209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 spans="2:24">
      <c r="B303" s="16"/>
      <c r="C303" s="16"/>
      <c r="D303" s="16"/>
      <c r="E303" s="16"/>
      <c r="F303" s="209"/>
      <c r="G303" s="209"/>
      <c r="H303" s="209"/>
      <c r="I303" s="209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 spans="2:24">
      <c r="B304" s="16"/>
      <c r="C304" s="16"/>
      <c r="D304" s="16"/>
      <c r="E304" s="16"/>
      <c r="F304" s="209"/>
      <c r="G304" s="209"/>
      <c r="H304" s="209"/>
      <c r="I304" s="209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 spans="2:24">
      <c r="B305" s="16"/>
      <c r="C305" s="16"/>
      <c r="D305" s="16"/>
      <c r="E305" s="16"/>
      <c r="F305" s="209"/>
      <c r="G305" s="209"/>
      <c r="H305" s="209"/>
      <c r="I305" s="209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2:24">
      <c r="B306" s="16"/>
      <c r="C306" s="16"/>
      <c r="D306" s="16"/>
      <c r="E306" s="16"/>
      <c r="F306" s="209"/>
      <c r="G306" s="209"/>
      <c r="H306" s="209"/>
      <c r="I306" s="209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 spans="2:24">
      <c r="B307" s="16"/>
      <c r="C307" s="16"/>
      <c r="D307" s="16"/>
      <c r="E307" s="16"/>
      <c r="F307" s="209"/>
      <c r="G307" s="209"/>
      <c r="H307" s="209"/>
      <c r="I307" s="209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 spans="2:24">
      <c r="B308" s="16"/>
      <c r="C308" s="16"/>
      <c r="D308" s="16"/>
      <c r="E308" s="16"/>
      <c r="F308" s="209"/>
      <c r="G308" s="209"/>
      <c r="H308" s="209"/>
      <c r="I308" s="209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spans="2:24">
      <c r="B309" s="16"/>
      <c r="C309" s="16"/>
      <c r="D309" s="16"/>
      <c r="E309" s="16"/>
      <c r="F309" s="209"/>
      <c r="G309" s="209"/>
      <c r="H309" s="209"/>
      <c r="I309" s="209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 spans="2:24">
      <c r="B310" s="16"/>
      <c r="C310" s="16"/>
      <c r="D310" s="16"/>
      <c r="E310" s="16"/>
      <c r="F310" s="209"/>
      <c r="G310" s="209"/>
      <c r="H310" s="209"/>
      <c r="I310" s="209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 spans="2:24">
      <c r="B311" s="16"/>
      <c r="C311" s="16"/>
      <c r="D311" s="16"/>
      <c r="E311" s="16"/>
      <c r="F311" s="209"/>
      <c r="G311" s="209"/>
      <c r="H311" s="209"/>
      <c r="I311" s="209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 spans="2:24">
      <c r="B312" s="16"/>
      <c r="C312" s="16"/>
      <c r="D312" s="16"/>
      <c r="E312" s="16"/>
      <c r="F312" s="209"/>
      <c r="G312" s="209"/>
      <c r="H312" s="209"/>
      <c r="I312" s="209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 spans="2:24">
      <c r="B313" s="16"/>
      <c r="C313" s="16"/>
      <c r="D313" s="16"/>
      <c r="E313" s="16"/>
      <c r="F313" s="209"/>
      <c r="G313" s="209"/>
      <c r="H313" s="209"/>
      <c r="I313" s="209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 spans="2:24">
      <c r="B314" s="16"/>
      <c r="C314" s="16"/>
      <c r="D314" s="16"/>
      <c r="E314" s="16"/>
      <c r="F314" s="209"/>
      <c r="G314" s="209"/>
      <c r="H314" s="209"/>
      <c r="I314" s="209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 spans="2:24">
      <c r="B315" s="16"/>
      <c r="C315" s="16"/>
      <c r="D315" s="16"/>
      <c r="E315" s="16"/>
      <c r="F315" s="209"/>
      <c r="G315" s="209"/>
      <c r="H315" s="209"/>
      <c r="I315" s="209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 spans="2:24">
      <c r="B316" s="16"/>
      <c r="C316" s="16"/>
      <c r="D316" s="16"/>
      <c r="E316" s="16"/>
      <c r="F316" s="209"/>
      <c r="G316" s="209"/>
      <c r="H316" s="209"/>
      <c r="I316" s="209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 spans="2:24">
      <c r="B317" s="16"/>
      <c r="C317" s="16"/>
      <c r="D317" s="16"/>
      <c r="E317" s="16"/>
      <c r="F317" s="209"/>
      <c r="G317" s="209"/>
      <c r="H317" s="209"/>
      <c r="I317" s="209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 spans="2:24">
      <c r="B318" s="16"/>
      <c r="C318" s="16"/>
      <c r="D318" s="16"/>
      <c r="E318" s="16"/>
      <c r="F318" s="209"/>
      <c r="G318" s="209"/>
      <c r="H318" s="209"/>
      <c r="I318" s="209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 spans="2:24">
      <c r="B319" s="16"/>
      <c r="C319" s="16"/>
      <c r="D319" s="16"/>
      <c r="E319" s="16"/>
      <c r="F319" s="209"/>
      <c r="G319" s="209"/>
      <c r="H319" s="209"/>
      <c r="I319" s="209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 spans="2:24">
      <c r="B320" s="16"/>
      <c r="C320" s="16"/>
      <c r="D320" s="16"/>
      <c r="E320" s="16"/>
      <c r="F320" s="209"/>
      <c r="G320" s="209"/>
      <c r="H320" s="209"/>
      <c r="I320" s="209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 spans="2:24">
      <c r="B321" s="16"/>
      <c r="C321" s="16"/>
      <c r="D321" s="16"/>
      <c r="E321" s="16"/>
      <c r="F321" s="209"/>
      <c r="G321" s="209"/>
      <c r="H321" s="209"/>
      <c r="I321" s="209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 spans="2:24">
      <c r="B322" s="16"/>
      <c r="C322" s="16"/>
      <c r="D322" s="16"/>
      <c r="E322" s="16"/>
      <c r="F322" s="209"/>
      <c r="G322" s="209"/>
      <c r="H322" s="209"/>
      <c r="I322" s="209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 spans="2:24">
      <c r="B323" s="16"/>
      <c r="C323" s="16"/>
      <c r="D323" s="16"/>
      <c r="E323" s="16"/>
      <c r="F323" s="209"/>
      <c r="G323" s="209"/>
      <c r="H323" s="209"/>
      <c r="I323" s="209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 spans="2:24">
      <c r="B324" s="16"/>
      <c r="C324" s="16"/>
      <c r="D324" s="16"/>
      <c r="E324" s="16"/>
      <c r="F324" s="209"/>
      <c r="G324" s="209"/>
      <c r="H324" s="209"/>
      <c r="I324" s="209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 spans="2:24">
      <c r="B325" s="16"/>
      <c r="C325" s="16"/>
      <c r="D325" s="16"/>
      <c r="E325" s="16"/>
      <c r="F325" s="209"/>
      <c r="G325" s="209"/>
      <c r="H325" s="209"/>
      <c r="I325" s="209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 spans="2:24">
      <c r="B326" s="16"/>
      <c r="C326" s="16"/>
      <c r="D326" s="16"/>
      <c r="E326" s="16"/>
      <c r="F326" s="209"/>
      <c r="G326" s="209"/>
      <c r="H326" s="209"/>
      <c r="I326" s="209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 spans="2:24">
      <c r="B327" s="16"/>
      <c r="C327" s="16"/>
      <c r="D327" s="16"/>
      <c r="E327" s="16"/>
      <c r="F327" s="209"/>
      <c r="G327" s="209"/>
      <c r="H327" s="209"/>
      <c r="I327" s="209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 spans="2:24">
      <c r="B328" s="16"/>
      <c r="C328" s="16"/>
      <c r="D328" s="16"/>
      <c r="E328" s="16"/>
      <c r="F328" s="209"/>
      <c r="G328" s="209"/>
      <c r="H328" s="209"/>
      <c r="I328" s="209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 spans="2:24">
      <c r="B329" s="16"/>
      <c r="C329" s="16"/>
      <c r="D329" s="16"/>
      <c r="E329" s="16"/>
      <c r="F329" s="209"/>
      <c r="G329" s="209"/>
      <c r="H329" s="209"/>
      <c r="I329" s="209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 spans="2:24">
      <c r="B330" s="16"/>
      <c r="C330" s="16"/>
      <c r="D330" s="16"/>
      <c r="E330" s="16"/>
      <c r="F330" s="209"/>
      <c r="G330" s="209"/>
      <c r="H330" s="209"/>
      <c r="I330" s="209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 spans="2:24">
      <c r="B331" s="16"/>
      <c r="C331" s="16"/>
      <c r="D331" s="16"/>
      <c r="E331" s="16"/>
      <c r="F331" s="209"/>
      <c r="G331" s="209"/>
      <c r="H331" s="209"/>
      <c r="I331" s="209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spans="2:24">
      <c r="B332" s="16"/>
      <c r="C332" s="16"/>
      <c r="D332" s="16"/>
      <c r="E332" s="16"/>
      <c r="F332" s="209"/>
      <c r="G332" s="209"/>
      <c r="H332" s="209"/>
      <c r="I332" s="209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spans="2:24">
      <c r="B333" s="16"/>
      <c r="C333" s="16"/>
      <c r="D333" s="16"/>
      <c r="E333" s="16"/>
      <c r="F333" s="209"/>
      <c r="G333" s="209"/>
      <c r="H333" s="209"/>
      <c r="I333" s="209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spans="2:24">
      <c r="B334" s="16"/>
      <c r="C334" s="16"/>
      <c r="D334" s="16"/>
      <c r="E334" s="16"/>
      <c r="F334" s="209"/>
      <c r="G334" s="209"/>
      <c r="H334" s="209"/>
      <c r="I334" s="209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 spans="2:24">
      <c r="B335" s="16"/>
      <c r="C335" s="16"/>
      <c r="D335" s="16"/>
      <c r="E335" s="16"/>
      <c r="F335" s="209"/>
      <c r="G335" s="209"/>
      <c r="H335" s="209"/>
      <c r="I335" s="209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 spans="2:24">
      <c r="B336" s="16"/>
      <c r="C336" s="16"/>
      <c r="D336" s="16"/>
      <c r="E336" s="16"/>
      <c r="F336" s="209"/>
      <c r="G336" s="209"/>
      <c r="H336" s="209"/>
      <c r="I336" s="209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 spans="2:24">
      <c r="B337" s="16"/>
      <c r="C337" s="16"/>
      <c r="D337" s="16"/>
      <c r="E337" s="16"/>
      <c r="F337" s="209"/>
      <c r="G337" s="209"/>
      <c r="H337" s="209"/>
      <c r="I337" s="209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 spans="2:24">
      <c r="B338" s="16"/>
      <c r="C338" s="16"/>
      <c r="D338" s="16"/>
      <c r="E338" s="16"/>
      <c r="F338" s="209"/>
      <c r="G338" s="209"/>
      <c r="H338" s="209"/>
      <c r="I338" s="209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 spans="2:24">
      <c r="B339" s="16"/>
      <c r="C339" s="16"/>
      <c r="D339" s="16"/>
      <c r="E339" s="16"/>
      <c r="F339" s="209"/>
      <c r="G339" s="209"/>
      <c r="H339" s="209"/>
      <c r="I339" s="209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 spans="2:24">
      <c r="B340" s="16"/>
      <c r="C340" s="16"/>
      <c r="D340" s="16"/>
      <c r="E340" s="16"/>
      <c r="F340" s="209"/>
      <c r="G340" s="209"/>
      <c r="H340" s="209"/>
      <c r="I340" s="209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 spans="2:24">
      <c r="B341" s="16"/>
      <c r="C341" s="16"/>
      <c r="D341" s="16"/>
      <c r="E341" s="16"/>
      <c r="F341" s="209"/>
      <c r="G341" s="209"/>
      <c r="H341" s="209"/>
      <c r="I341" s="209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 spans="2:24">
      <c r="B342" s="16"/>
      <c r="C342" s="16"/>
      <c r="D342" s="16"/>
      <c r="E342" s="16"/>
      <c r="F342" s="209"/>
      <c r="G342" s="209"/>
      <c r="H342" s="209"/>
      <c r="I342" s="209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 spans="2:24">
      <c r="B343" s="16"/>
      <c r="C343" s="16"/>
      <c r="D343" s="16"/>
      <c r="E343" s="16"/>
      <c r="F343" s="209"/>
      <c r="G343" s="209"/>
      <c r="H343" s="209"/>
      <c r="I343" s="209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 spans="2:24">
      <c r="B344" s="16"/>
      <c r="C344" s="16"/>
      <c r="D344" s="16"/>
      <c r="E344" s="16"/>
      <c r="F344" s="209"/>
      <c r="G344" s="209"/>
      <c r="H344" s="209"/>
      <c r="I344" s="209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 spans="2:24">
      <c r="B345" s="16"/>
      <c r="C345" s="16"/>
      <c r="D345" s="16"/>
      <c r="E345" s="16"/>
      <c r="F345" s="209"/>
      <c r="G345" s="209"/>
      <c r="H345" s="209"/>
      <c r="I345" s="209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 spans="2:24">
      <c r="B346" s="16"/>
      <c r="C346" s="16"/>
      <c r="D346" s="16"/>
      <c r="E346" s="16"/>
      <c r="F346" s="209"/>
      <c r="G346" s="209"/>
      <c r="H346" s="209"/>
      <c r="I346" s="209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 spans="2:24">
      <c r="B347" s="16"/>
      <c r="C347" s="16"/>
      <c r="D347" s="16"/>
      <c r="E347" s="16"/>
      <c r="F347" s="209"/>
      <c r="G347" s="209"/>
      <c r="H347" s="209"/>
      <c r="I347" s="209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 spans="2:24">
      <c r="B348" s="16"/>
      <c r="C348" s="16"/>
      <c r="D348" s="16"/>
      <c r="E348" s="16"/>
      <c r="F348" s="209"/>
      <c r="G348" s="209"/>
      <c r="H348" s="209"/>
      <c r="I348" s="209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 spans="2:24">
      <c r="B349" s="16"/>
      <c r="C349" s="16"/>
      <c r="D349" s="16"/>
      <c r="E349" s="16"/>
      <c r="F349" s="209"/>
      <c r="G349" s="209"/>
      <c r="H349" s="209"/>
      <c r="I349" s="209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 spans="2:24">
      <c r="B350" s="16"/>
      <c r="C350" s="16"/>
      <c r="D350" s="16"/>
      <c r="E350" s="16"/>
      <c r="F350" s="209"/>
      <c r="G350" s="209"/>
      <c r="H350" s="209"/>
      <c r="I350" s="209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 spans="2:24">
      <c r="B351" s="16"/>
      <c r="C351" s="16"/>
      <c r="D351" s="16"/>
      <c r="E351" s="16"/>
      <c r="F351" s="209"/>
      <c r="G351" s="209"/>
      <c r="H351" s="209"/>
      <c r="I351" s="209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 spans="2:24">
      <c r="B352" s="16"/>
      <c r="C352" s="16"/>
      <c r="D352" s="16"/>
      <c r="E352" s="16"/>
      <c r="F352" s="209"/>
      <c r="G352" s="209"/>
      <c r="H352" s="209"/>
      <c r="I352" s="209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 spans="2:24">
      <c r="B353" s="16"/>
      <c r="C353" s="16"/>
      <c r="D353" s="16"/>
      <c r="E353" s="16"/>
      <c r="F353" s="209"/>
      <c r="G353" s="209"/>
      <c r="H353" s="209"/>
      <c r="I353" s="209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 spans="2:24">
      <c r="B354" s="16"/>
      <c r="C354" s="16"/>
      <c r="D354" s="16"/>
      <c r="E354" s="16"/>
      <c r="F354" s="209"/>
      <c r="G354" s="209"/>
      <c r="H354" s="209"/>
      <c r="I354" s="209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spans="2:24">
      <c r="B355" s="16"/>
      <c r="C355" s="16"/>
      <c r="D355" s="16"/>
      <c r="E355" s="16"/>
      <c r="F355" s="209"/>
      <c r="G355" s="209"/>
      <c r="H355" s="209"/>
      <c r="I355" s="209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spans="2:24">
      <c r="B356" s="16"/>
      <c r="C356" s="16"/>
      <c r="D356" s="16"/>
      <c r="E356" s="16"/>
      <c r="F356" s="209"/>
      <c r="G356" s="209"/>
      <c r="H356" s="209"/>
      <c r="I356" s="209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spans="2:24">
      <c r="B357" s="16"/>
      <c r="C357" s="16"/>
      <c r="D357" s="16"/>
      <c r="E357" s="16"/>
      <c r="F357" s="209"/>
      <c r="G357" s="209"/>
      <c r="H357" s="209"/>
      <c r="I357" s="209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spans="2:24">
      <c r="B358" s="16"/>
      <c r="C358" s="16"/>
      <c r="D358" s="16"/>
      <c r="E358" s="16"/>
      <c r="F358" s="209"/>
      <c r="G358" s="209"/>
      <c r="H358" s="209"/>
      <c r="I358" s="209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 spans="2:24">
      <c r="B359" s="16"/>
      <c r="C359" s="16"/>
      <c r="D359" s="16"/>
      <c r="E359" s="16"/>
      <c r="F359" s="209"/>
      <c r="G359" s="209"/>
      <c r="H359" s="209"/>
      <c r="I359" s="209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 spans="2:24">
      <c r="B360" s="16"/>
      <c r="C360" s="16"/>
      <c r="D360" s="16"/>
      <c r="E360" s="16"/>
      <c r="F360" s="209"/>
      <c r="G360" s="209"/>
      <c r="H360" s="209"/>
      <c r="I360" s="209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spans="2:24">
      <c r="B361" s="16"/>
      <c r="C361" s="16"/>
      <c r="D361" s="16"/>
      <c r="E361" s="16"/>
      <c r="F361" s="209"/>
      <c r="G361" s="209"/>
      <c r="H361" s="209"/>
      <c r="I361" s="209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 spans="2:24">
      <c r="B362" s="16"/>
      <c r="C362" s="16"/>
      <c r="D362" s="16"/>
      <c r="E362" s="16"/>
      <c r="F362" s="209"/>
      <c r="G362" s="209"/>
      <c r="H362" s="209"/>
      <c r="I362" s="209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 spans="2:24">
      <c r="B363" s="16"/>
      <c r="C363" s="16"/>
      <c r="D363" s="16"/>
      <c r="E363" s="16"/>
      <c r="F363" s="209"/>
      <c r="G363" s="209"/>
      <c r="H363" s="209"/>
      <c r="I363" s="209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 spans="2:24">
      <c r="B364" s="16"/>
      <c r="C364" s="16"/>
      <c r="D364" s="16"/>
      <c r="E364" s="16"/>
      <c r="F364" s="209"/>
      <c r="G364" s="209"/>
      <c r="H364" s="209"/>
      <c r="I364" s="209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 spans="2:24">
      <c r="B365" s="16"/>
      <c r="C365" s="16"/>
      <c r="D365" s="16"/>
      <c r="E365" s="16"/>
      <c r="F365" s="209"/>
      <c r="G365" s="209"/>
      <c r="H365" s="209"/>
      <c r="I365" s="209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 spans="2:24">
      <c r="B366" s="16"/>
      <c r="C366" s="16"/>
      <c r="D366" s="16"/>
      <c r="E366" s="16"/>
      <c r="F366" s="209"/>
      <c r="G366" s="209"/>
      <c r="H366" s="209"/>
      <c r="I366" s="209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 spans="2:24">
      <c r="B367" s="16"/>
      <c r="C367" s="16"/>
      <c r="D367" s="16"/>
      <c r="E367" s="16"/>
      <c r="F367" s="209"/>
      <c r="G367" s="209"/>
      <c r="H367" s="209"/>
      <c r="I367" s="209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 spans="2:24">
      <c r="B368" s="16"/>
      <c r="C368" s="16"/>
      <c r="D368" s="16"/>
      <c r="E368" s="16"/>
      <c r="F368" s="209"/>
      <c r="G368" s="209"/>
      <c r="H368" s="209"/>
      <c r="I368" s="209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 spans="2:24">
      <c r="B369" s="16"/>
      <c r="C369" s="16"/>
      <c r="D369" s="16"/>
      <c r="E369" s="16"/>
      <c r="F369" s="209"/>
      <c r="G369" s="209"/>
      <c r="H369" s="209"/>
      <c r="I369" s="209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 spans="2:24">
      <c r="B370" s="16"/>
      <c r="C370" s="16"/>
      <c r="D370" s="16"/>
      <c r="E370" s="16"/>
      <c r="F370" s="209"/>
      <c r="G370" s="209"/>
      <c r="H370" s="209"/>
      <c r="I370" s="209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 spans="2:24">
      <c r="B371" s="16"/>
      <c r="C371" s="16"/>
      <c r="D371" s="16"/>
      <c r="E371" s="16"/>
      <c r="F371" s="209"/>
      <c r="G371" s="209"/>
      <c r="H371" s="209"/>
      <c r="I371" s="209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 spans="2:24">
      <c r="B372" s="16"/>
      <c r="C372" s="16"/>
      <c r="D372" s="16"/>
      <c r="E372" s="16"/>
      <c r="F372" s="209"/>
      <c r="G372" s="209"/>
      <c r="H372" s="209"/>
      <c r="I372" s="209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 spans="2:24">
      <c r="B373" s="16"/>
      <c r="C373" s="16"/>
      <c r="D373" s="16"/>
      <c r="E373" s="16"/>
      <c r="F373" s="209"/>
      <c r="G373" s="209"/>
      <c r="H373" s="209"/>
      <c r="I373" s="209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 spans="2:24">
      <c r="B374" s="16"/>
      <c r="C374" s="16"/>
      <c r="D374" s="16"/>
      <c r="E374" s="16"/>
      <c r="F374" s="209"/>
      <c r="G374" s="209"/>
      <c r="H374" s="209"/>
      <c r="I374" s="209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 spans="2:24">
      <c r="B375" s="16"/>
      <c r="C375" s="16"/>
      <c r="D375" s="16"/>
      <c r="E375" s="16"/>
      <c r="F375" s="209"/>
      <c r="G375" s="209"/>
      <c r="H375" s="209"/>
      <c r="I375" s="209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 spans="2:24">
      <c r="B376" s="16"/>
      <c r="C376" s="16"/>
      <c r="D376" s="16"/>
      <c r="E376" s="16"/>
      <c r="F376" s="209"/>
      <c r="G376" s="209"/>
      <c r="H376" s="209"/>
      <c r="I376" s="209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 spans="2:24">
      <c r="B377" s="16"/>
      <c r="C377" s="16"/>
      <c r="D377" s="16"/>
      <c r="E377" s="16"/>
      <c r="F377" s="209"/>
      <c r="G377" s="209"/>
      <c r="H377" s="209"/>
      <c r="I377" s="209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spans="2:24">
      <c r="B378" s="16"/>
      <c r="C378" s="16"/>
      <c r="D378" s="16"/>
      <c r="E378" s="16"/>
      <c r="F378" s="209"/>
      <c r="G378" s="209"/>
      <c r="H378" s="209"/>
      <c r="I378" s="209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spans="2:24">
      <c r="B379" s="16"/>
      <c r="C379" s="16"/>
      <c r="D379" s="16"/>
      <c r="E379" s="16"/>
      <c r="F379" s="209"/>
      <c r="G379" s="209"/>
      <c r="H379" s="209"/>
      <c r="I379" s="209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spans="2:24">
      <c r="B380" s="16"/>
      <c r="C380" s="16"/>
      <c r="D380" s="16"/>
      <c r="E380" s="16"/>
      <c r="F380" s="209"/>
      <c r="G380" s="209"/>
      <c r="H380" s="209"/>
      <c r="I380" s="209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spans="2:24">
      <c r="B381" s="16"/>
      <c r="C381" s="16"/>
      <c r="D381" s="16"/>
      <c r="E381" s="16"/>
      <c r="F381" s="209"/>
      <c r="G381" s="209"/>
      <c r="H381" s="209"/>
      <c r="I381" s="209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spans="2:24">
      <c r="B382" s="16"/>
      <c r="C382" s="16"/>
      <c r="D382" s="16"/>
      <c r="E382" s="16"/>
      <c r="F382" s="209"/>
      <c r="G382" s="209"/>
      <c r="H382" s="209"/>
      <c r="I382" s="209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spans="2:24">
      <c r="B383" s="16"/>
      <c r="C383" s="16"/>
      <c r="D383" s="16"/>
      <c r="E383" s="16"/>
      <c r="F383" s="209"/>
      <c r="G383" s="209"/>
      <c r="H383" s="209"/>
      <c r="I383" s="209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 spans="2:24">
      <c r="B384" s="16"/>
      <c r="C384" s="16"/>
      <c r="D384" s="16"/>
      <c r="E384" s="16"/>
      <c r="F384" s="209"/>
      <c r="G384" s="209"/>
      <c r="H384" s="209"/>
      <c r="I384" s="209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 spans="2:24">
      <c r="B385" s="16"/>
      <c r="C385" s="16"/>
      <c r="D385" s="16"/>
      <c r="E385" s="16"/>
      <c r="F385" s="209"/>
      <c r="G385" s="209"/>
      <c r="H385" s="209"/>
      <c r="I385" s="209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 spans="2:24">
      <c r="B386" s="16"/>
      <c r="C386" s="16"/>
      <c r="D386" s="16"/>
      <c r="E386" s="16"/>
      <c r="F386" s="209"/>
      <c r="G386" s="209"/>
      <c r="H386" s="209"/>
      <c r="I386" s="209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 spans="2:24">
      <c r="B387" s="16"/>
      <c r="C387" s="16"/>
      <c r="D387" s="16"/>
      <c r="E387" s="16"/>
      <c r="F387" s="209"/>
      <c r="G387" s="209"/>
      <c r="H387" s="209"/>
      <c r="I387" s="209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 spans="2:24">
      <c r="B388" s="16"/>
      <c r="C388" s="16"/>
      <c r="D388" s="16"/>
      <c r="E388" s="16"/>
      <c r="F388" s="209"/>
      <c r="G388" s="209"/>
      <c r="H388" s="209"/>
      <c r="I388" s="209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 spans="2:24">
      <c r="B389" s="16"/>
      <c r="C389" s="16"/>
      <c r="D389" s="16"/>
      <c r="E389" s="16"/>
      <c r="F389" s="209"/>
      <c r="G389" s="209"/>
      <c r="H389" s="209"/>
      <c r="I389" s="209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 spans="2:24">
      <c r="B390" s="16"/>
      <c r="C390" s="16"/>
      <c r="D390" s="16"/>
      <c r="E390" s="16"/>
      <c r="F390" s="209"/>
      <c r="G390" s="209"/>
      <c r="H390" s="209"/>
      <c r="I390" s="209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 spans="2:24">
      <c r="B391" s="16"/>
      <c r="C391" s="16"/>
      <c r="D391" s="16"/>
      <c r="E391" s="16"/>
      <c r="F391" s="209"/>
      <c r="G391" s="209"/>
      <c r="H391" s="209"/>
      <c r="I391" s="209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 spans="2:24">
      <c r="B392" s="16"/>
      <c r="C392" s="16"/>
      <c r="D392" s="16"/>
      <c r="E392" s="16"/>
      <c r="F392" s="209"/>
      <c r="G392" s="209"/>
      <c r="H392" s="209"/>
      <c r="I392" s="209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 spans="2:24">
      <c r="B393" s="16"/>
      <c r="C393" s="16"/>
      <c r="D393" s="16"/>
      <c r="E393" s="16"/>
      <c r="F393" s="209"/>
      <c r="G393" s="209"/>
      <c r="H393" s="209"/>
      <c r="I393" s="209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 spans="2:24">
      <c r="B394" s="16"/>
      <c r="C394" s="16"/>
      <c r="D394" s="16"/>
      <c r="E394" s="16"/>
      <c r="F394" s="209"/>
      <c r="G394" s="209"/>
      <c r="H394" s="209"/>
      <c r="I394" s="209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 spans="2:24">
      <c r="B395" s="16"/>
      <c r="C395" s="16"/>
      <c r="D395" s="16"/>
      <c r="E395" s="16"/>
      <c r="F395" s="209"/>
      <c r="G395" s="209"/>
      <c r="H395" s="209"/>
      <c r="I395" s="209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 spans="2:24">
      <c r="B396" s="16"/>
      <c r="C396" s="16"/>
      <c r="D396" s="16"/>
      <c r="E396" s="16"/>
      <c r="F396" s="209"/>
      <c r="G396" s="209"/>
      <c r="H396" s="209"/>
      <c r="I396" s="209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 spans="2:24">
      <c r="B397" s="16"/>
      <c r="C397" s="16"/>
      <c r="D397" s="16"/>
      <c r="E397" s="16"/>
      <c r="F397" s="209"/>
      <c r="G397" s="209"/>
      <c r="H397" s="209"/>
      <c r="I397" s="209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 spans="2:24">
      <c r="B398" s="16"/>
      <c r="C398" s="16"/>
      <c r="D398" s="16"/>
      <c r="E398" s="16"/>
      <c r="F398" s="209"/>
      <c r="G398" s="209"/>
      <c r="H398" s="209"/>
      <c r="I398" s="209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 spans="2:24">
      <c r="B399" s="16"/>
      <c r="C399" s="16"/>
      <c r="D399" s="16"/>
      <c r="E399" s="16"/>
      <c r="F399" s="209"/>
      <c r="G399" s="209"/>
      <c r="H399" s="209"/>
      <c r="I399" s="209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 spans="2:24">
      <c r="B400" s="16"/>
      <c r="C400" s="16"/>
      <c r="D400" s="16"/>
      <c r="E400" s="16"/>
      <c r="F400" s="209"/>
      <c r="G400" s="209"/>
      <c r="H400" s="209"/>
      <c r="I400" s="209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spans="2:24">
      <c r="B401" s="16"/>
      <c r="C401" s="16"/>
      <c r="D401" s="16"/>
      <c r="E401" s="16"/>
      <c r="F401" s="209"/>
      <c r="G401" s="209"/>
      <c r="H401" s="209"/>
      <c r="I401" s="209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spans="2:24">
      <c r="B402" s="16"/>
      <c r="C402" s="16"/>
      <c r="D402" s="16"/>
      <c r="E402" s="16"/>
      <c r="F402" s="209"/>
      <c r="G402" s="209"/>
      <c r="H402" s="209"/>
      <c r="I402" s="209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spans="2:24">
      <c r="B403" s="16"/>
      <c r="C403" s="16"/>
      <c r="D403" s="16"/>
      <c r="E403" s="16"/>
      <c r="F403" s="209"/>
      <c r="G403" s="209"/>
      <c r="H403" s="209"/>
      <c r="I403" s="209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spans="2:24">
      <c r="B404" s="16"/>
      <c r="C404" s="16"/>
      <c r="D404" s="16"/>
      <c r="E404" s="16"/>
      <c r="F404" s="209"/>
      <c r="G404" s="209"/>
      <c r="H404" s="209"/>
      <c r="I404" s="209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spans="2:24">
      <c r="B405" s="16"/>
      <c r="C405" s="16"/>
      <c r="D405" s="16"/>
      <c r="E405" s="16"/>
      <c r="F405" s="209"/>
      <c r="G405" s="209"/>
      <c r="H405" s="209"/>
      <c r="I405" s="209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spans="2:24">
      <c r="B406" s="16"/>
      <c r="C406" s="16"/>
      <c r="D406" s="16"/>
      <c r="E406" s="16"/>
      <c r="F406" s="209"/>
      <c r="G406" s="209"/>
      <c r="H406" s="209"/>
      <c r="I406" s="209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spans="2:24">
      <c r="B407" s="16"/>
      <c r="C407" s="16"/>
      <c r="D407" s="16"/>
      <c r="E407" s="16"/>
      <c r="F407" s="209"/>
      <c r="G407" s="209"/>
      <c r="H407" s="209"/>
      <c r="I407" s="209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 spans="2:24">
      <c r="B408" s="16"/>
      <c r="C408" s="16"/>
      <c r="D408" s="16"/>
      <c r="E408" s="16"/>
      <c r="F408" s="209"/>
      <c r="G408" s="209"/>
      <c r="H408" s="209"/>
      <c r="I408" s="209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 spans="2:24">
      <c r="B409" s="16"/>
      <c r="C409" s="16"/>
      <c r="D409" s="16"/>
      <c r="E409" s="16"/>
      <c r="F409" s="209"/>
      <c r="G409" s="209"/>
      <c r="H409" s="209"/>
      <c r="I409" s="209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 spans="2:24">
      <c r="B410" s="16"/>
      <c r="C410" s="16"/>
      <c r="D410" s="16"/>
      <c r="E410" s="16"/>
      <c r="F410" s="209"/>
      <c r="G410" s="209"/>
      <c r="H410" s="209"/>
      <c r="I410" s="209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 spans="2:24">
      <c r="B411" s="16"/>
      <c r="C411" s="16"/>
      <c r="D411" s="16"/>
      <c r="E411" s="16"/>
      <c r="F411" s="209"/>
      <c r="G411" s="209"/>
      <c r="H411" s="209"/>
      <c r="I411" s="209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 spans="2:24">
      <c r="B412" s="16"/>
      <c r="C412" s="16"/>
      <c r="D412" s="16"/>
      <c r="E412" s="16"/>
      <c r="F412" s="209"/>
      <c r="G412" s="209"/>
      <c r="H412" s="209"/>
      <c r="I412" s="209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 spans="2:24">
      <c r="B413" s="16"/>
      <c r="C413" s="16"/>
      <c r="D413" s="16"/>
      <c r="E413" s="16"/>
      <c r="F413" s="209"/>
      <c r="G413" s="209"/>
      <c r="H413" s="209"/>
      <c r="I413" s="209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 spans="2:24">
      <c r="B414" s="16"/>
      <c r="C414" s="16"/>
      <c r="D414" s="16"/>
      <c r="E414" s="16"/>
      <c r="F414" s="209"/>
      <c r="G414" s="209"/>
      <c r="H414" s="209"/>
      <c r="I414" s="209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 spans="2:24">
      <c r="B415" s="16"/>
      <c r="C415" s="16"/>
      <c r="D415" s="16"/>
      <c r="E415" s="16"/>
      <c r="F415" s="209"/>
      <c r="G415" s="209"/>
      <c r="H415" s="209"/>
      <c r="I415" s="209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 spans="2:24">
      <c r="B416" s="16"/>
      <c r="C416" s="16"/>
      <c r="D416" s="16"/>
      <c r="E416" s="16"/>
      <c r="F416" s="209"/>
      <c r="G416" s="209"/>
      <c r="H416" s="209"/>
      <c r="I416" s="209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 spans="2:24">
      <c r="B417" s="16"/>
      <c r="C417" s="16"/>
      <c r="D417" s="16"/>
      <c r="E417" s="16"/>
      <c r="F417" s="209"/>
      <c r="G417" s="209"/>
      <c r="H417" s="209"/>
      <c r="I417" s="209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 spans="2:24">
      <c r="B418" s="16"/>
      <c r="C418" s="16"/>
      <c r="D418" s="16"/>
      <c r="E418" s="16"/>
      <c r="F418" s="209"/>
      <c r="G418" s="209"/>
      <c r="H418" s="209"/>
      <c r="I418" s="209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 spans="2:24">
      <c r="B419" s="16"/>
      <c r="C419" s="16"/>
      <c r="D419" s="16"/>
      <c r="E419" s="16"/>
      <c r="F419" s="209"/>
      <c r="G419" s="209"/>
      <c r="H419" s="209"/>
      <c r="I419" s="209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 spans="2:24">
      <c r="B420" s="16"/>
      <c r="C420" s="16"/>
      <c r="D420" s="16"/>
      <c r="E420" s="16"/>
      <c r="F420" s="209"/>
      <c r="G420" s="209"/>
      <c r="H420" s="209"/>
      <c r="I420" s="209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 spans="2:24">
      <c r="B421" s="16"/>
      <c r="C421" s="16"/>
      <c r="D421" s="16"/>
      <c r="E421" s="16"/>
      <c r="F421" s="209"/>
      <c r="G421" s="209"/>
      <c r="H421" s="209"/>
      <c r="I421" s="209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 spans="2:24">
      <c r="B422" s="16"/>
      <c r="C422" s="16"/>
      <c r="D422" s="16"/>
      <c r="E422" s="16"/>
      <c r="F422" s="209"/>
      <c r="G422" s="209"/>
      <c r="H422" s="209"/>
      <c r="I422" s="209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 spans="2:24">
      <c r="B423" s="16"/>
      <c r="C423" s="16"/>
      <c r="D423" s="16"/>
      <c r="E423" s="16"/>
      <c r="F423" s="209"/>
      <c r="G423" s="209"/>
      <c r="H423" s="209"/>
      <c r="I423" s="209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spans="2:24">
      <c r="B424" s="16"/>
      <c r="C424" s="16"/>
      <c r="D424" s="16"/>
      <c r="E424" s="16"/>
      <c r="F424" s="209"/>
      <c r="G424" s="209"/>
      <c r="H424" s="209"/>
      <c r="I424" s="209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 spans="2:24">
      <c r="B425" s="16"/>
      <c r="C425" s="16"/>
      <c r="D425" s="16"/>
      <c r="E425" s="16"/>
      <c r="F425" s="209"/>
      <c r="G425" s="209"/>
      <c r="H425" s="209"/>
      <c r="I425" s="209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spans="2:24">
      <c r="B426" s="16"/>
      <c r="C426" s="16"/>
      <c r="D426" s="16"/>
      <c r="E426" s="16"/>
      <c r="F426" s="209"/>
      <c r="G426" s="209"/>
      <c r="H426" s="209"/>
      <c r="I426" s="209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spans="2:24">
      <c r="B427" s="16"/>
      <c r="C427" s="16"/>
      <c r="D427" s="16"/>
      <c r="E427" s="16"/>
      <c r="F427" s="209"/>
      <c r="G427" s="209"/>
      <c r="H427" s="209"/>
      <c r="I427" s="209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spans="2:24">
      <c r="B428" s="16"/>
      <c r="C428" s="16"/>
      <c r="D428" s="16"/>
      <c r="E428" s="16"/>
      <c r="F428" s="209"/>
      <c r="G428" s="209"/>
      <c r="H428" s="209"/>
      <c r="I428" s="209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spans="2:24">
      <c r="B429" s="16"/>
      <c r="C429" s="16"/>
      <c r="D429" s="16"/>
      <c r="E429" s="16"/>
      <c r="F429" s="209"/>
      <c r="G429" s="209"/>
      <c r="H429" s="209"/>
      <c r="I429" s="209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spans="2:24">
      <c r="B430" s="16"/>
      <c r="C430" s="16"/>
      <c r="D430" s="16"/>
      <c r="E430" s="16"/>
      <c r="F430" s="209"/>
      <c r="G430" s="209"/>
      <c r="H430" s="209"/>
      <c r="I430" s="209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 spans="2:24">
      <c r="B431" s="16"/>
      <c r="C431" s="16"/>
      <c r="D431" s="16"/>
      <c r="E431" s="16"/>
      <c r="F431" s="209"/>
      <c r="G431" s="209"/>
      <c r="H431" s="209"/>
      <c r="I431" s="209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 spans="2:24">
      <c r="B432" s="16"/>
      <c r="C432" s="16"/>
      <c r="D432" s="16"/>
      <c r="E432" s="16"/>
      <c r="F432" s="209"/>
      <c r="G432" s="209"/>
      <c r="H432" s="209"/>
      <c r="I432" s="209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 spans="2:24">
      <c r="B433" s="16"/>
      <c r="C433" s="16"/>
      <c r="D433" s="16"/>
      <c r="E433" s="16"/>
      <c r="F433" s="209"/>
      <c r="G433" s="209"/>
      <c r="H433" s="209"/>
      <c r="I433" s="209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 spans="2:24">
      <c r="B434" s="16"/>
      <c r="C434" s="16"/>
      <c r="D434" s="16"/>
      <c r="E434" s="16"/>
      <c r="F434" s="209"/>
      <c r="G434" s="209"/>
      <c r="H434" s="209"/>
      <c r="I434" s="209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 spans="2:24">
      <c r="B435" s="16"/>
      <c r="C435" s="16"/>
      <c r="D435" s="16"/>
      <c r="E435" s="16"/>
      <c r="F435" s="209"/>
      <c r="G435" s="209"/>
      <c r="H435" s="209"/>
      <c r="I435" s="209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 spans="2:24">
      <c r="B436" s="16"/>
      <c r="C436" s="16"/>
      <c r="D436" s="16"/>
      <c r="E436" s="16"/>
      <c r="F436" s="209"/>
      <c r="G436" s="209"/>
      <c r="H436" s="209"/>
      <c r="I436" s="209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 spans="2:24">
      <c r="B437" s="16"/>
      <c r="C437" s="16"/>
      <c r="D437" s="16"/>
      <c r="E437" s="16"/>
      <c r="F437" s="209"/>
      <c r="G437" s="209"/>
      <c r="H437" s="209"/>
      <c r="I437" s="209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 spans="2:24">
      <c r="B438" s="16"/>
      <c r="C438" s="16"/>
      <c r="D438" s="16"/>
      <c r="E438" s="16"/>
      <c r="F438" s="209"/>
      <c r="G438" s="209"/>
      <c r="H438" s="209"/>
      <c r="I438" s="209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 spans="2:24">
      <c r="B439" s="16"/>
      <c r="C439" s="16"/>
      <c r="D439" s="16"/>
      <c r="E439" s="16"/>
      <c r="F439" s="209"/>
      <c r="G439" s="209"/>
      <c r="H439" s="209"/>
      <c r="I439" s="209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 spans="2:24">
      <c r="B440" s="16"/>
      <c r="C440" s="16"/>
      <c r="D440" s="16"/>
      <c r="E440" s="16"/>
      <c r="F440" s="209"/>
      <c r="G440" s="209"/>
      <c r="H440" s="209"/>
      <c r="I440" s="209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 spans="2:24">
      <c r="B441" s="16"/>
      <c r="C441" s="16"/>
      <c r="D441" s="16"/>
      <c r="E441" s="16"/>
      <c r="F441" s="209"/>
      <c r="G441" s="209"/>
      <c r="H441" s="209"/>
      <c r="I441" s="209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 spans="2:24">
      <c r="B442" s="16"/>
      <c r="C442" s="16"/>
      <c r="D442" s="16"/>
      <c r="E442" s="16"/>
      <c r="F442" s="209"/>
      <c r="G442" s="209"/>
      <c r="H442" s="209"/>
      <c r="I442" s="209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 spans="2:24">
      <c r="B443" s="16"/>
      <c r="C443" s="16"/>
      <c r="D443" s="16"/>
      <c r="E443" s="16"/>
      <c r="F443" s="209"/>
      <c r="G443" s="209"/>
      <c r="H443" s="209"/>
      <c r="I443" s="209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 spans="2:24">
      <c r="B444" s="16"/>
      <c r="C444" s="16"/>
      <c r="D444" s="16"/>
      <c r="E444" s="16"/>
      <c r="F444" s="209"/>
      <c r="G444" s="209"/>
      <c r="H444" s="209"/>
      <c r="I444" s="209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 spans="2:24">
      <c r="B445" s="16"/>
      <c r="C445" s="16"/>
      <c r="D445" s="16"/>
      <c r="E445" s="16"/>
      <c r="F445" s="209"/>
      <c r="G445" s="209"/>
      <c r="H445" s="209"/>
      <c r="I445" s="209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 spans="2:24">
      <c r="B446" s="16"/>
      <c r="C446" s="16"/>
      <c r="D446" s="16"/>
      <c r="E446" s="16"/>
      <c r="F446" s="209"/>
      <c r="G446" s="209"/>
      <c r="H446" s="209"/>
      <c r="I446" s="209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 spans="2:24">
      <c r="B447" s="16"/>
      <c r="C447" s="16"/>
      <c r="D447" s="16"/>
      <c r="E447" s="16"/>
      <c r="F447" s="209"/>
      <c r="G447" s="209"/>
      <c r="H447" s="209"/>
      <c r="I447" s="209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 spans="2:24">
      <c r="B448" s="16"/>
      <c r="C448" s="16"/>
      <c r="D448" s="16"/>
      <c r="E448" s="16"/>
      <c r="F448" s="209"/>
      <c r="G448" s="209"/>
      <c r="H448" s="209"/>
      <c r="I448" s="209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 spans="2:24">
      <c r="B449" s="16"/>
      <c r="C449" s="16"/>
      <c r="D449" s="16"/>
      <c r="E449" s="16"/>
      <c r="F449" s="209"/>
      <c r="G449" s="209"/>
      <c r="H449" s="209"/>
      <c r="I449" s="209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 spans="2:24">
      <c r="B450" s="16"/>
      <c r="C450" s="16"/>
      <c r="D450" s="16"/>
      <c r="E450" s="16"/>
      <c r="F450" s="209"/>
      <c r="G450" s="209"/>
      <c r="H450" s="209"/>
      <c r="I450" s="209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 spans="2:24">
      <c r="B451" s="16"/>
      <c r="C451" s="16"/>
      <c r="D451" s="16"/>
      <c r="E451" s="16"/>
      <c r="F451" s="209"/>
      <c r="G451" s="209"/>
      <c r="H451" s="209"/>
      <c r="I451" s="209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 spans="2:24">
      <c r="B452" s="16"/>
      <c r="C452" s="16"/>
      <c r="D452" s="16"/>
      <c r="E452" s="16"/>
      <c r="F452" s="209"/>
      <c r="G452" s="209"/>
      <c r="H452" s="209"/>
      <c r="I452" s="209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 spans="2:24">
      <c r="B453" s="16"/>
      <c r="C453" s="16"/>
      <c r="D453" s="16"/>
      <c r="E453" s="16"/>
      <c r="F453" s="209"/>
      <c r="G453" s="209"/>
      <c r="H453" s="209"/>
      <c r="I453" s="209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 spans="2:24">
      <c r="B454" s="16"/>
      <c r="C454" s="16"/>
      <c r="D454" s="16"/>
      <c r="E454" s="16"/>
      <c r="F454" s="209"/>
      <c r="G454" s="209"/>
      <c r="H454" s="209"/>
      <c r="I454" s="209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 spans="2:24">
      <c r="B455" s="16"/>
      <c r="C455" s="16"/>
      <c r="D455" s="16"/>
      <c r="E455" s="16"/>
      <c r="F455" s="209"/>
      <c r="G455" s="209"/>
      <c r="H455" s="209"/>
      <c r="I455" s="209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 spans="2:24">
      <c r="B456" s="16"/>
      <c r="C456" s="16"/>
      <c r="D456" s="16"/>
      <c r="E456" s="16"/>
      <c r="F456" s="209"/>
      <c r="G456" s="209"/>
      <c r="H456" s="209"/>
      <c r="I456" s="209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 spans="2:24">
      <c r="B457" s="16"/>
      <c r="C457" s="16"/>
      <c r="D457" s="16"/>
      <c r="E457" s="16"/>
      <c r="F457" s="209"/>
      <c r="G457" s="209"/>
      <c r="H457" s="209"/>
      <c r="I457" s="209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 spans="2:24">
      <c r="B458" s="16"/>
      <c r="C458" s="16"/>
      <c r="D458" s="16"/>
      <c r="E458" s="16"/>
      <c r="F458" s="209"/>
      <c r="G458" s="209"/>
      <c r="H458" s="209"/>
      <c r="I458" s="209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 spans="2:24">
      <c r="B459" s="16"/>
      <c r="C459" s="16"/>
      <c r="D459" s="16"/>
      <c r="E459" s="16"/>
      <c r="F459" s="209"/>
      <c r="G459" s="209"/>
      <c r="H459" s="209"/>
      <c r="I459" s="209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 spans="2:24">
      <c r="B460" s="16"/>
      <c r="C460" s="16"/>
      <c r="D460" s="16"/>
      <c r="E460" s="16"/>
      <c r="F460" s="209"/>
      <c r="G460" s="209"/>
      <c r="H460" s="209"/>
      <c r="I460" s="209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 spans="2:24">
      <c r="B461" s="16"/>
      <c r="C461" s="16"/>
      <c r="D461" s="16"/>
      <c r="E461" s="16"/>
      <c r="F461" s="209"/>
      <c r="G461" s="209"/>
      <c r="H461" s="209"/>
      <c r="I461" s="209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 spans="2:24">
      <c r="B462" s="16"/>
      <c r="C462" s="16"/>
      <c r="D462" s="16"/>
      <c r="E462" s="16"/>
      <c r="F462" s="209"/>
      <c r="G462" s="209"/>
      <c r="H462" s="209"/>
      <c r="I462" s="209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 spans="2:24">
      <c r="B463" s="16"/>
      <c r="C463" s="16"/>
      <c r="D463" s="16"/>
      <c r="E463" s="16"/>
      <c r="F463" s="209"/>
      <c r="G463" s="209"/>
      <c r="H463" s="209"/>
      <c r="I463" s="209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 spans="2:24">
      <c r="B464" s="16"/>
      <c r="C464" s="16"/>
      <c r="D464" s="16"/>
      <c r="E464" s="16"/>
      <c r="F464" s="209"/>
      <c r="G464" s="209"/>
      <c r="H464" s="209"/>
      <c r="I464" s="209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 spans="2:24">
      <c r="B465" s="16"/>
      <c r="C465" s="16"/>
      <c r="D465" s="16"/>
      <c r="E465" s="16"/>
      <c r="F465" s="209"/>
      <c r="G465" s="209"/>
      <c r="H465" s="209"/>
      <c r="I465" s="209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 spans="2:24">
      <c r="B466" s="16"/>
      <c r="C466" s="16"/>
      <c r="D466" s="16"/>
      <c r="E466" s="16"/>
      <c r="F466" s="209"/>
      <c r="G466" s="209"/>
      <c r="H466" s="209"/>
      <c r="I466" s="209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 spans="2:24">
      <c r="B467" s="16"/>
      <c r="C467" s="16"/>
      <c r="D467" s="16"/>
      <c r="E467" s="16"/>
      <c r="F467" s="209"/>
      <c r="G467" s="209"/>
      <c r="H467" s="209"/>
      <c r="I467" s="209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 spans="2:24">
      <c r="B468" s="16"/>
      <c r="C468" s="16"/>
      <c r="D468" s="16"/>
      <c r="E468" s="16"/>
      <c r="F468" s="209"/>
      <c r="G468" s="209"/>
      <c r="H468" s="209"/>
      <c r="I468" s="209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 spans="2:24">
      <c r="B469" s="16"/>
      <c r="C469" s="16"/>
      <c r="D469" s="16"/>
      <c r="E469" s="16"/>
      <c r="F469" s="209"/>
      <c r="G469" s="209"/>
      <c r="H469" s="209"/>
      <c r="I469" s="209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 spans="2:24">
      <c r="B470" s="16"/>
      <c r="C470" s="16"/>
      <c r="D470" s="16"/>
      <c r="E470" s="16"/>
      <c r="F470" s="209"/>
      <c r="G470" s="209"/>
      <c r="H470" s="209"/>
      <c r="I470" s="209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 spans="2:24">
      <c r="B471" s="16"/>
      <c r="C471" s="16"/>
      <c r="D471" s="16"/>
      <c r="E471" s="16"/>
      <c r="F471" s="209"/>
      <c r="G471" s="209"/>
      <c r="H471" s="209"/>
      <c r="I471" s="209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 spans="2:24">
      <c r="B472" s="16"/>
      <c r="C472" s="16"/>
      <c r="D472" s="16"/>
      <c r="E472" s="16"/>
      <c r="F472" s="209"/>
      <c r="G472" s="209"/>
      <c r="H472" s="209"/>
      <c r="I472" s="209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 spans="2:24">
      <c r="B473" s="16"/>
      <c r="C473" s="16"/>
      <c r="D473" s="16"/>
      <c r="E473" s="16"/>
      <c r="F473" s="209"/>
      <c r="G473" s="209"/>
      <c r="H473" s="209"/>
      <c r="I473" s="209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 spans="2:24">
      <c r="B474" s="16"/>
      <c r="C474" s="16"/>
      <c r="D474" s="16"/>
      <c r="E474" s="16"/>
      <c r="F474" s="209"/>
      <c r="G474" s="209"/>
      <c r="H474" s="209"/>
      <c r="I474" s="209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 spans="2:24">
      <c r="B475" s="16"/>
      <c r="C475" s="16"/>
      <c r="D475" s="16"/>
      <c r="E475" s="16"/>
      <c r="F475" s="209"/>
      <c r="G475" s="209"/>
      <c r="H475" s="209"/>
      <c r="I475" s="209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 spans="2:24">
      <c r="B476" s="16"/>
      <c r="C476" s="16"/>
      <c r="D476" s="16"/>
      <c r="E476" s="16"/>
      <c r="F476" s="209"/>
      <c r="G476" s="209"/>
      <c r="H476" s="209"/>
      <c r="I476" s="209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 spans="2:24">
      <c r="B477" s="16"/>
      <c r="C477" s="16"/>
      <c r="D477" s="16"/>
      <c r="E477" s="16"/>
      <c r="F477" s="209"/>
      <c r="G477" s="209"/>
      <c r="H477" s="209"/>
      <c r="I477" s="209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 spans="2:24">
      <c r="B478" s="16"/>
      <c r="C478" s="16"/>
      <c r="D478" s="16"/>
      <c r="E478" s="16"/>
      <c r="F478" s="209"/>
      <c r="G478" s="209"/>
      <c r="H478" s="209"/>
      <c r="I478" s="209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 spans="2:24">
      <c r="B479" s="16"/>
      <c r="C479" s="16"/>
      <c r="D479" s="16"/>
      <c r="E479" s="16"/>
      <c r="F479" s="209"/>
      <c r="G479" s="209"/>
      <c r="H479" s="209"/>
      <c r="I479" s="209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 spans="2:24">
      <c r="B480" s="16"/>
      <c r="C480" s="16"/>
      <c r="D480" s="16"/>
      <c r="E480" s="16"/>
      <c r="F480" s="209"/>
      <c r="G480" s="209"/>
      <c r="H480" s="209"/>
      <c r="I480" s="209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 spans="2:24">
      <c r="B481" s="16"/>
      <c r="C481" s="16"/>
      <c r="D481" s="16"/>
      <c r="E481" s="16"/>
      <c r="F481" s="209"/>
      <c r="G481" s="209"/>
      <c r="H481" s="209"/>
      <c r="I481" s="209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 spans="2:24">
      <c r="B482" s="16"/>
      <c r="C482" s="16"/>
      <c r="D482" s="16"/>
      <c r="E482" s="16"/>
      <c r="F482" s="209"/>
      <c r="G482" s="209"/>
      <c r="H482" s="209"/>
      <c r="I482" s="209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 spans="2:24">
      <c r="B483" s="16"/>
      <c r="C483" s="16"/>
      <c r="D483" s="16"/>
      <c r="E483" s="16"/>
      <c r="F483" s="209"/>
      <c r="G483" s="209"/>
      <c r="H483" s="209"/>
      <c r="I483" s="209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 spans="2:24">
      <c r="B484" s="16"/>
      <c r="C484" s="16"/>
      <c r="D484" s="16"/>
      <c r="E484" s="16"/>
      <c r="F484" s="209"/>
      <c r="G484" s="209"/>
      <c r="H484" s="209"/>
      <c r="I484" s="209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 spans="2:24">
      <c r="B485" s="16"/>
      <c r="C485" s="16"/>
      <c r="D485" s="16"/>
      <c r="E485" s="16"/>
      <c r="F485" s="209"/>
      <c r="G485" s="209"/>
      <c r="H485" s="209"/>
      <c r="I485" s="209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 spans="2:24">
      <c r="B486" s="16"/>
      <c r="C486" s="16"/>
      <c r="D486" s="16"/>
      <c r="E486" s="16"/>
      <c r="F486" s="209"/>
      <c r="G486" s="209"/>
      <c r="H486" s="209"/>
      <c r="I486" s="209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 spans="2:24">
      <c r="B487" s="16"/>
      <c r="C487" s="16"/>
      <c r="D487" s="16"/>
      <c r="E487" s="16"/>
      <c r="F487" s="209"/>
      <c r="G487" s="209"/>
      <c r="H487" s="209"/>
      <c r="I487" s="209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 spans="2:24">
      <c r="B488" s="16"/>
      <c r="C488" s="16"/>
      <c r="D488" s="16"/>
      <c r="E488" s="16"/>
      <c r="F488" s="209"/>
      <c r="G488" s="209"/>
      <c r="H488" s="209"/>
      <c r="I488" s="209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 spans="2:24">
      <c r="B489" s="16"/>
      <c r="C489" s="16"/>
      <c r="D489" s="16"/>
      <c r="E489" s="16"/>
      <c r="F489" s="209"/>
      <c r="G489" s="209"/>
      <c r="H489" s="209"/>
      <c r="I489" s="209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 spans="2:24">
      <c r="B490" s="16"/>
      <c r="C490" s="16"/>
      <c r="D490" s="16"/>
      <c r="E490" s="16"/>
      <c r="F490" s="209"/>
      <c r="G490" s="209"/>
      <c r="H490" s="209"/>
      <c r="I490" s="209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 spans="2:24">
      <c r="B491" s="16"/>
      <c r="C491" s="16"/>
      <c r="D491" s="16"/>
      <c r="E491" s="16"/>
      <c r="F491" s="209"/>
      <c r="G491" s="209"/>
      <c r="H491" s="209"/>
      <c r="I491" s="209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 spans="2:24">
      <c r="B492" s="16"/>
      <c r="C492" s="16"/>
      <c r="D492" s="16"/>
      <c r="E492" s="16"/>
      <c r="F492" s="209"/>
      <c r="G492" s="209"/>
      <c r="H492" s="209"/>
      <c r="I492" s="209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 spans="2:24">
      <c r="B493" s="16"/>
      <c r="C493" s="16"/>
      <c r="D493" s="16"/>
      <c r="E493" s="16"/>
      <c r="F493" s="209"/>
      <c r="G493" s="209"/>
      <c r="H493" s="209"/>
      <c r="I493" s="209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 spans="2:24">
      <c r="B494" s="16"/>
      <c r="C494" s="16"/>
      <c r="D494" s="16"/>
      <c r="E494" s="16"/>
      <c r="F494" s="209"/>
      <c r="G494" s="209"/>
      <c r="H494" s="209"/>
      <c r="I494" s="209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 spans="2:24">
      <c r="B495" s="16"/>
      <c r="C495" s="16"/>
      <c r="D495" s="16"/>
      <c r="E495" s="16"/>
      <c r="F495" s="209"/>
      <c r="G495" s="209"/>
      <c r="H495" s="209"/>
      <c r="I495" s="209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 spans="2:24">
      <c r="B496" s="16"/>
      <c r="C496" s="16"/>
      <c r="D496" s="16"/>
      <c r="E496" s="16"/>
      <c r="F496" s="209"/>
      <c r="G496" s="209"/>
      <c r="H496" s="209"/>
      <c r="I496" s="209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 spans="2:24">
      <c r="B497" s="16"/>
      <c r="C497" s="16"/>
      <c r="D497" s="16"/>
      <c r="E497" s="16"/>
      <c r="F497" s="209"/>
      <c r="G497" s="209"/>
      <c r="H497" s="209"/>
      <c r="I497" s="209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 spans="2:24">
      <c r="B498" s="16"/>
      <c r="C498" s="16"/>
      <c r="D498" s="16"/>
      <c r="E498" s="16"/>
      <c r="F498" s="209"/>
      <c r="G498" s="209"/>
      <c r="H498" s="209"/>
      <c r="I498" s="209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 spans="2:24">
      <c r="B499" s="16"/>
      <c r="C499" s="16"/>
      <c r="D499" s="16"/>
      <c r="E499" s="16"/>
      <c r="F499" s="209"/>
      <c r="G499" s="209"/>
      <c r="H499" s="209"/>
      <c r="I499" s="209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 spans="2:24">
      <c r="B500" s="16"/>
      <c r="C500" s="16"/>
      <c r="D500" s="16"/>
      <c r="E500" s="16"/>
      <c r="F500" s="209"/>
      <c r="G500" s="209"/>
      <c r="H500" s="209"/>
      <c r="I500" s="209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 spans="2:24">
      <c r="B501" s="16"/>
      <c r="C501" s="16"/>
      <c r="D501" s="16"/>
      <c r="E501" s="16"/>
      <c r="F501" s="209"/>
      <c r="G501" s="209"/>
      <c r="H501" s="209"/>
      <c r="I501" s="209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 spans="2:24">
      <c r="B502" s="16"/>
      <c r="C502" s="16"/>
      <c r="D502" s="16"/>
      <c r="E502" s="16"/>
      <c r="F502" s="209"/>
      <c r="G502" s="209"/>
      <c r="H502" s="209"/>
      <c r="I502" s="209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 spans="2:24">
      <c r="B503" s="16"/>
      <c r="C503" s="16"/>
      <c r="D503" s="16"/>
      <c r="E503" s="16"/>
      <c r="F503" s="209"/>
      <c r="G503" s="209"/>
      <c r="H503" s="209"/>
      <c r="I503" s="209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 spans="2:24">
      <c r="B504" s="16"/>
      <c r="C504" s="16"/>
      <c r="D504" s="16"/>
      <c r="E504" s="16"/>
      <c r="F504" s="209"/>
      <c r="G504" s="209"/>
      <c r="H504" s="209"/>
      <c r="I504" s="209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 spans="2:24">
      <c r="B505" s="16"/>
      <c r="C505" s="16"/>
      <c r="D505" s="16"/>
      <c r="E505" s="16"/>
      <c r="F505" s="209"/>
      <c r="G505" s="209"/>
      <c r="H505" s="209"/>
      <c r="I505" s="209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 spans="2:24">
      <c r="B506" s="16"/>
      <c r="C506" s="16"/>
      <c r="D506" s="16"/>
      <c r="E506" s="16"/>
      <c r="F506" s="209"/>
      <c r="G506" s="209"/>
      <c r="H506" s="209"/>
      <c r="I506" s="209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 spans="2:24">
      <c r="B507" s="16"/>
      <c r="C507" s="16"/>
      <c r="D507" s="16"/>
      <c r="E507" s="16"/>
      <c r="F507" s="209"/>
      <c r="G507" s="209"/>
      <c r="H507" s="209"/>
      <c r="I507" s="209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 spans="2:24">
      <c r="B508" s="16"/>
      <c r="C508" s="16"/>
      <c r="D508" s="16"/>
      <c r="E508" s="16"/>
      <c r="F508" s="209"/>
      <c r="G508" s="209"/>
      <c r="H508" s="209"/>
      <c r="I508" s="209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 spans="2:24">
      <c r="B509" s="16"/>
      <c r="C509" s="16"/>
      <c r="D509" s="16"/>
      <c r="E509" s="16"/>
      <c r="F509" s="209"/>
      <c r="G509" s="209"/>
      <c r="H509" s="209"/>
      <c r="I509" s="209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 spans="2:24">
      <c r="B510" s="16"/>
      <c r="C510" s="16"/>
      <c r="D510" s="16"/>
      <c r="E510" s="16"/>
      <c r="F510" s="209"/>
      <c r="G510" s="209"/>
      <c r="H510" s="209"/>
      <c r="I510" s="209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 spans="2:24">
      <c r="B511" s="16"/>
      <c r="C511" s="16"/>
      <c r="D511" s="16"/>
      <c r="E511" s="16"/>
      <c r="F511" s="209"/>
      <c r="G511" s="209"/>
      <c r="H511" s="209"/>
      <c r="I511" s="209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 spans="2:24">
      <c r="B512" s="16"/>
      <c r="C512" s="16"/>
      <c r="D512" s="16"/>
      <c r="E512" s="16"/>
      <c r="F512" s="209"/>
      <c r="G512" s="209"/>
      <c r="H512" s="209"/>
      <c r="I512" s="209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 spans="2:24">
      <c r="B513" s="16"/>
      <c r="C513" s="16"/>
      <c r="D513" s="16"/>
      <c r="E513" s="16"/>
      <c r="F513" s="209"/>
      <c r="G513" s="209"/>
      <c r="H513" s="209"/>
      <c r="I513" s="209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 spans="2:24">
      <c r="B514" s="16"/>
      <c r="C514" s="16"/>
      <c r="D514" s="16"/>
      <c r="E514" s="16"/>
      <c r="F514" s="209"/>
      <c r="G514" s="209"/>
      <c r="H514" s="209"/>
      <c r="I514" s="209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 spans="2:24">
      <c r="B515" s="16"/>
      <c r="C515" s="16"/>
      <c r="D515" s="16"/>
      <c r="E515" s="16"/>
      <c r="F515" s="209"/>
      <c r="G515" s="209"/>
      <c r="H515" s="209"/>
      <c r="I515" s="209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 spans="2:24">
      <c r="B516" s="16"/>
      <c r="C516" s="16"/>
      <c r="D516" s="16"/>
      <c r="E516" s="16"/>
      <c r="F516" s="209"/>
      <c r="G516" s="209"/>
      <c r="H516" s="209"/>
      <c r="I516" s="209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 spans="2:24">
      <c r="B517" s="16"/>
      <c r="C517" s="16"/>
      <c r="D517" s="16"/>
      <c r="E517" s="16"/>
      <c r="F517" s="209"/>
      <c r="G517" s="209"/>
      <c r="H517" s="209"/>
      <c r="I517" s="209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 spans="2:24">
      <c r="B518" s="16"/>
      <c r="C518" s="16"/>
      <c r="D518" s="16"/>
      <c r="E518" s="16"/>
      <c r="F518" s="209"/>
      <c r="G518" s="209"/>
      <c r="H518" s="209"/>
      <c r="I518" s="209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 spans="2:24">
      <c r="B519" s="16"/>
      <c r="C519" s="16"/>
      <c r="D519" s="16"/>
      <c r="E519" s="16"/>
      <c r="F519" s="209"/>
      <c r="G519" s="209"/>
      <c r="H519" s="209"/>
      <c r="I519" s="209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 spans="2:24">
      <c r="B520" s="16"/>
      <c r="C520" s="16"/>
      <c r="D520" s="16"/>
      <c r="E520" s="16"/>
      <c r="F520" s="209"/>
      <c r="G520" s="209"/>
      <c r="H520" s="209"/>
      <c r="I520" s="209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 spans="2:24">
      <c r="B521" s="16"/>
      <c r="C521" s="16"/>
      <c r="D521" s="16"/>
      <c r="E521" s="16"/>
      <c r="F521" s="209"/>
      <c r="G521" s="209"/>
      <c r="H521" s="209"/>
      <c r="I521" s="209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 spans="2:24">
      <c r="B522" s="16"/>
      <c r="C522" s="16"/>
      <c r="D522" s="16"/>
      <c r="E522" s="16"/>
      <c r="F522" s="209"/>
      <c r="G522" s="209"/>
      <c r="H522" s="209"/>
      <c r="I522" s="209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 spans="2:24">
      <c r="B523" s="16"/>
      <c r="C523" s="16"/>
      <c r="D523" s="16"/>
      <c r="E523" s="16"/>
      <c r="F523" s="209"/>
      <c r="G523" s="209"/>
      <c r="H523" s="209"/>
      <c r="I523" s="209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 spans="2:24">
      <c r="B524" s="16"/>
      <c r="C524" s="16"/>
      <c r="D524" s="16"/>
      <c r="E524" s="16"/>
      <c r="F524" s="209"/>
      <c r="G524" s="209"/>
      <c r="H524" s="209"/>
      <c r="I524" s="209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 spans="2:24">
      <c r="B525" s="16"/>
      <c r="C525" s="16"/>
      <c r="D525" s="16"/>
      <c r="E525" s="16"/>
      <c r="F525" s="209"/>
      <c r="G525" s="209"/>
      <c r="H525" s="209"/>
      <c r="I525" s="209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 spans="2:24">
      <c r="B526" s="16"/>
      <c r="C526" s="16"/>
      <c r="D526" s="16"/>
      <c r="E526" s="16"/>
      <c r="F526" s="209"/>
      <c r="G526" s="209"/>
      <c r="H526" s="209"/>
      <c r="I526" s="209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 spans="2:24">
      <c r="B527" s="16"/>
      <c r="C527" s="16"/>
      <c r="D527" s="16"/>
      <c r="E527" s="16"/>
      <c r="F527" s="209"/>
      <c r="G527" s="209"/>
      <c r="H527" s="209"/>
      <c r="I527" s="209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 spans="2:24">
      <c r="B528" s="16"/>
      <c r="C528" s="16"/>
      <c r="D528" s="16"/>
      <c r="E528" s="16"/>
      <c r="F528" s="209"/>
      <c r="G528" s="209"/>
      <c r="H528" s="209"/>
      <c r="I528" s="209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 spans="2:24">
      <c r="B529" s="16"/>
      <c r="C529" s="16"/>
      <c r="D529" s="16"/>
      <c r="E529" s="16"/>
      <c r="F529" s="209"/>
      <c r="G529" s="209"/>
      <c r="H529" s="209"/>
      <c r="I529" s="209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 spans="2:24">
      <c r="B530" s="16"/>
      <c r="C530" s="16"/>
      <c r="D530" s="16"/>
      <c r="E530" s="16"/>
      <c r="F530" s="209"/>
      <c r="G530" s="209"/>
      <c r="H530" s="209"/>
      <c r="I530" s="209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 spans="2:24">
      <c r="B531" s="16"/>
      <c r="C531" s="16"/>
      <c r="D531" s="16"/>
      <c r="E531" s="16"/>
      <c r="F531" s="209"/>
      <c r="G531" s="209"/>
      <c r="H531" s="209"/>
      <c r="I531" s="209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 spans="2:24">
      <c r="B532" s="16"/>
      <c r="C532" s="16"/>
      <c r="D532" s="16"/>
      <c r="E532" s="16"/>
      <c r="F532" s="209"/>
      <c r="G532" s="209"/>
      <c r="H532" s="209"/>
      <c r="I532" s="209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 spans="2:24">
      <c r="B533" s="16"/>
      <c r="C533" s="16"/>
      <c r="D533" s="16"/>
      <c r="E533" s="16"/>
      <c r="F533" s="209"/>
      <c r="G533" s="209"/>
      <c r="H533" s="209"/>
      <c r="I533" s="209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 spans="2:24">
      <c r="B534" s="16"/>
      <c r="C534" s="16"/>
      <c r="D534" s="16"/>
      <c r="E534" s="16"/>
      <c r="F534" s="209"/>
      <c r="G534" s="209"/>
      <c r="H534" s="209"/>
      <c r="I534" s="209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 spans="2:24">
      <c r="B535" s="16"/>
      <c r="C535" s="16"/>
      <c r="D535" s="16"/>
      <c r="E535" s="16"/>
      <c r="F535" s="209"/>
      <c r="G535" s="209"/>
      <c r="H535" s="209"/>
      <c r="I535" s="209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 spans="2:24">
      <c r="B536" s="16"/>
      <c r="C536" s="16"/>
      <c r="D536" s="16"/>
      <c r="E536" s="16"/>
      <c r="F536" s="209"/>
      <c r="G536" s="209"/>
      <c r="H536" s="209"/>
      <c r="I536" s="209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 spans="2:24">
      <c r="B537" s="16"/>
      <c r="C537" s="16"/>
      <c r="D537" s="16"/>
      <c r="E537" s="16"/>
      <c r="F537" s="209"/>
      <c r="G537" s="209"/>
      <c r="H537" s="209"/>
      <c r="I537" s="209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 spans="2:24">
      <c r="B538" s="16"/>
      <c r="C538" s="16"/>
      <c r="D538" s="16"/>
      <c r="E538" s="16"/>
      <c r="F538" s="209"/>
      <c r="G538" s="209"/>
      <c r="H538" s="209"/>
      <c r="I538" s="209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 spans="2:24">
      <c r="B539" s="16"/>
      <c r="C539" s="16"/>
      <c r="D539" s="16"/>
      <c r="E539" s="16"/>
      <c r="F539" s="209"/>
      <c r="G539" s="209"/>
      <c r="H539" s="209"/>
      <c r="I539" s="209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 spans="2:24">
      <c r="B540" s="16"/>
      <c r="C540" s="16"/>
      <c r="D540" s="16"/>
      <c r="E540" s="16"/>
      <c r="F540" s="209"/>
      <c r="G540" s="209"/>
      <c r="H540" s="209"/>
      <c r="I540" s="209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 spans="2:24">
      <c r="B541" s="16"/>
      <c r="C541" s="16"/>
      <c r="D541" s="16"/>
      <c r="E541" s="16"/>
      <c r="F541" s="209"/>
      <c r="G541" s="209"/>
      <c r="H541" s="209"/>
      <c r="I541" s="209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 spans="2:24">
      <c r="B542" s="16"/>
      <c r="C542" s="16"/>
      <c r="D542" s="16"/>
      <c r="E542" s="16"/>
      <c r="F542" s="209"/>
      <c r="G542" s="209"/>
      <c r="H542" s="209"/>
      <c r="I542" s="209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 spans="2:24">
      <c r="B543" s="16"/>
      <c r="C543" s="16"/>
      <c r="D543" s="16"/>
      <c r="E543" s="16"/>
      <c r="F543" s="209"/>
      <c r="G543" s="209"/>
      <c r="H543" s="209"/>
      <c r="I543" s="209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 spans="2:24">
      <c r="B544" s="16"/>
      <c r="C544" s="16"/>
      <c r="D544" s="16"/>
      <c r="E544" s="16"/>
      <c r="F544" s="209"/>
      <c r="G544" s="209"/>
      <c r="H544" s="209"/>
      <c r="I544" s="209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 spans="2:24">
      <c r="B545" s="16"/>
      <c r="C545" s="16"/>
      <c r="D545" s="16"/>
      <c r="E545" s="16"/>
      <c r="F545" s="209"/>
      <c r="G545" s="209"/>
      <c r="H545" s="209"/>
      <c r="I545" s="209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 spans="2:24">
      <c r="B546" s="16"/>
      <c r="C546" s="16"/>
      <c r="D546" s="16"/>
      <c r="E546" s="16"/>
      <c r="F546" s="209"/>
      <c r="G546" s="209"/>
      <c r="H546" s="209"/>
      <c r="I546" s="209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 spans="2:24">
      <c r="B547" s="16"/>
      <c r="C547" s="16"/>
      <c r="D547" s="16"/>
      <c r="E547" s="16"/>
      <c r="F547" s="209"/>
      <c r="G547" s="209"/>
      <c r="H547" s="209"/>
      <c r="I547" s="209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 spans="2:24">
      <c r="B548" s="16"/>
      <c r="C548" s="16"/>
      <c r="D548" s="16"/>
      <c r="E548" s="16"/>
      <c r="F548" s="209"/>
      <c r="G548" s="209"/>
      <c r="H548" s="209"/>
      <c r="I548" s="209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 spans="2:24">
      <c r="B549" s="16"/>
      <c r="C549" s="16"/>
      <c r="D549" s="16"/>
      <c r="E549" s="16"/>
      <c r="F549" s="209"/>
      <c r="G549" s="209"/>
      <c r="H549" s="209"/>
      <c r="I549" s="209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 spans="2:24">
      <c r="B550" s="16"/>
      <c r="C550" s="16"/>
      <c r="D550" s="16"/>
      <c r="E550" s="16"/>
      <c r="F550" s="209"/>
      <c r="G550" s="209"/>
      <c r="H550" s="209"/>
      <c r="I550" s="209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 spans="2:24">
      <c r="B551" s="16"/>
      <c r="C551" s="16"/>
      <c r="D551" s="16"/>
      <c r="E551" s="16"/>
      <c r="F551" s="209"/>
      <c r="G551" s="209"/>
      <c r="H551" s="209"/>
      <c r="I551" s="209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 spans="2:24">
      <c r="B552" s="16"/>
      <c r="C552" s="16"/>
      <c r="D552" s="16"/>
      <c r="E552" s="16"/>
      <c r="F552" s="209"/>
      <c r="G552" s="209"/>
      <c r="H552" s="209"/>
      <c r="I552" s="209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 spans="2:24">
      <c r="B553" s="16"/>
      <c r="C553" s="16"/>
      <c r="D553" s="16"/>
      <c r="E553" s="16"/>
      <c r="F553" s="209"/>
      <c r="G553" s="209"/>
      <c r="H553" s="209"/>
      <c r="I553" s="209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 spans="2:24">
      <c r="B554" s="16"/>
      <c r="C554" s="16"/>
      <c r="D554" s="16"/>
      <c r="E554" s="16"/>
      <c r="F554" s="209"/>
      <c r="G554" s="209"/>
      <c r="H554" s="209"/>
      <c r="I554" s="209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 spans="2:24">
      <c r="B555" s="16"/>
      <c r="C555" s="16"/>
      <c r="D555" s="16"/>
      <c r="E555" s="16"/>
      <c r="F555" s="209"/>
      <c r="G555" s="209"/>
      <c r="H555" s="209"/>
      <c r="I555" s="209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 spans="2:24">
      <c r="B556" s="16"/>
      <c r="C556" s="16"/>
      <c r="D556" s="16"/>
      <c r="E556" s="16"/>
      <c r="F556" s="209"/>
      <c r="G556" s="209"/>
      <c r="H556" s="209"/>
      <c r="I556" s="209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 spans="2:24">
      <c r="B557" s="16"/>
      <c r="C557" s="16"/>
      <c r="D557" s="16"/>
      <c r="E557" s="16"/>
      <c r="F557" s="209"/>
      <c r="G557" s="209"/>
      <c r="H557" s="209"/>
      <c r="I557" s="209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 spans="2:24">
      <c r="B558" s="16"/>
      <c r="C558" s="16"/>
      <c r="D558" s="16"/>
      <c r="E558" s="16"/>
      <c r="F558" s="209"/>
      <c r="G558" s="209"/>
      <c r="H558" s="209"/>
      <c r="I558" s="209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 spans="2:24">
      <c r="B559" s="16"/>
      <c r="C559" s="16"/>
      <c r="D559" s="16"/>
      <c r="E559" s="16"/>
      <c r="F559" s="209"/>
      <c r="G559" s="209"/>
      <c r="H559" s="209"/>
      <c r="I559" s="209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 spans="2:24">
      <c r="B560" s="16"/>
      <c r="C560" s="16"/>
      <c r="D560" s="16"/>
      <c r="E560" s="16"/>
      <c r="F560" s="209"/>
      <c r="G560" s="209"/>
      <c r="H560" s="209"/>
      <c r="I560" s="209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 spans="2:24">
      <c r="B561" s="16"/>
      <c r="C561" s="16"/>
      <c r="D561" s="16"/>
      <c r="E561" s="16"/>
      <c r="F561" s="209"/>
      <c r="G561" s="209"/>
      <c r="H561" s="209"/>
      <c r="I561" s="209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 spans="2:24">
      <c r="B562" s="16"/>
      <c r="C562" s="16"/>
      <c r="D562" s="16"/>
      <c r="E562" s="16"/>
      <c r="F562" s="209"/>
      <c r="G562" s="209"/>
      <c r="H562" s="209"/>
      <c r="I562" s="209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 spans="2:24">
      <c r="B563" s="16"/>
      <c r="C563" s="16"/>
      <c r="D563" s="16"/>
      <c r="E563" s="16"/>
      <c r="F563" s="209"/>
      <c r="G563" s="209"/>
      <c r="H563" s="209"/>
      <c r="I563" s="209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 spans="2:24">
      <c r="B564" s="16"/>
      <c r="C564" s="16"/>
      <c r="D564" s="16"/>
      <c r="E564" s="16"/>
      <c r="F564" s="209"/>
      <c r="G564" s="209"/>
      <c r="H564" s="209"/>
      <c r="I564" s="209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 spans="2:24">
      <c r="B565" s="16"/>
      <c r="C565" s="16"/>
      <c r="D565" s="16"/>
      <c r="E565" s="16"/>
      <c r="F565" s="209"/>
      <c r="G565" s="209"/>
      <c r="H565" s="209"/>
      <c r="I565" s="209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 spans="2:24">
      <c r="B566" s="16"/>
      <c r="C566" s="16"/>
      <c r="D566" s="16"/>
      <c r="E566" s="16"/>
      <c r="F566" s="209"/>
      <c r="G566" s="209"/>
      <c r="H566" s="209"/>
      <c r="I566" s="209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 spans="2:24">
      <c r="B567" s="16"/>
      <c r="C567" s="16"/>
      <c r="D567" s="16"/>
      <c r="E567" s="16"/>
      <c r="F567" s="209"/>
      <c r="G567" s="209"/>
      <c r="H567" s="209"/>
      <c r="I567" s="209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 spans="2:24">
      <c r="B568" s="16"/>
      <c r="C568" s="16"/>
      <c r="D568" s="16"/>
      <c r="E568" s="16"/>
      <c r="F568" s="209"/>
      <c r="G568" s="209"/>
      <c r="H568" s="209"/>
      <c r="I568" s="209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 spans="2:24">
      <c r="B569" s="16"/>
      <c r="C569" s="16"/>
      <c r="D569" s="16"/>
      <c r="E569" s="16"/>
      <c r="F569" s="209"/>
      <c r="G569" s="209"/>
      <c r="H569" s="209"/>
      <c r="I569" s="209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 spans="2:24">
      <c r="B570" s="16"/>
      <c r="C570" s="16"/>
      <c r="D570" s="16"/>
      <c r="E570" s="16"/>
      <c r="F570" s="209"/>
      <c r="G570" s="209"/>
      <c r="H570" s="209"/>
      <c r="I570" s="209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 spans="2:24">
      <c r="B571" s="16"/>
      <c r="C571" s="16"/>
      <c r="D571" s="16"/>
      <c r="E571" s="16"/>
      <c r="F571" s="209"/>
      <c r="G571" s="209"/>
      <c r="H571" s="209"/>
      <c r="I571" s="209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 spans="2:24">
      <c r="B572" s="16"/>
      <c r="C572" s="16"/>
      <c r="D572" s="16"/>
      <c r="E572" s="16"/>
      <c r="F572" s="209"/>
      <c r="G572" s="209"/>
      <c r="H572" s="209"/>
      <c r="I572" s="209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 spans="2:24">
      <c r="B573" s="16"/>
      <c r="C573" s="16"/>
      <c r="D573" s="16"/>
      <c r="E573" s="16"/>
      <c r="F573" s="209"/>
      <c r="G573" s="209"/>
      <c r="H573" s="209"/>
      <c r="I573" s="209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 spans="2:24">
      <c r="B574" s="16"/>
      <c r="C574" s="16"/>
      <c r="D574" s="16"/>
      <c r="E574" s="16"/>
      <c r="F574" s="209"/>
      <c r="G574" s="209"/>
      <c r="H574" s="209"/>
      <c r="I574" s="209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 spans="2:24">
      <c r="B575" s="16"/>
      <c r="C575" s="16"/>
      <c r="D575" s="16"/>
      <c r="E575" s="16"/>
      <c r="F575" s="209"/>
      <c r="G575" s="209"/>
      <c r="H575" s="209"/>
      <c r="I575" s="209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 spans="2:24">
      <c r="B576" s="16"/>
      <c r="C576" s="16"/>
      <c r="D576" s="16"/>
      <c r="E576" s="16"/>
      <c r="F576" s="209"/>
      <c r="G576" s="209"/>
      <c r="H576" s="209"/>
      <c r="I576" s="209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 spans="2:24">
      <c r="B577" s="16"/>
      <c r="C577" s="16"/>
      <c r="D577" s="16"/>
      <c r="E577" s="16"/>
      <c r="F577" s="209"/>
      <c r="G577" s="209"/>
      <c r="H577" s="209"/>
      <c r="I577" s="209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 spans="2:24">
      <c r="B578" s="16"/>
      <c r="C578" s="16"/>
      <c r="D578" s="16"/>
      <c r="E578" s="16"/>
      <c r="F578" s="209"/>
      <c r="G578" s="209"/>
      <c r="H578" s="209"/>
      <c r="I578" s="209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 spans="2:24">
      <c r="B579" s="16"/>
      <c r="C579" s="16"/>
      <c r="D579" s="16"/>
      <c r="E579" s="16"/>
      <c r="F579" s="209"/>
      <c r="G579" s="209"/>
      <c r="H579" s="209"/>
      <c r="I579" s="209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 spans="2:24">
      <c r="B580" s="16"/>
      <c r="C580" s="16"/>
      <c r="D580" s="16"/>
      <c r="E580" s="16"/>
      <c r="F580" s="209"/>
      <c r="G580" s="209"/>
      <c r="H580" s="209"/>
      <c r="I580" s="209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 spans="2:24">
      <c r="B581" s="16"/>
      <c r="C581" s="16"/>
      <c r="D581" s="16"/>
      <c r="E581" s="16"/>
      <c r="F581" s="209"/>
      <c r="G581" s="209"/>
      <c r="H581" s="209"/>
      <c r="I581" s="209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 spans="2:24">
      <c r="B582" s="16"/>
      <c r="C582" s="16"/>
      <c r="D582" s="16"/>
      <c r="E582" s="16"/>
      <c r="F582" s="209"/>
      <c r="G582" s="209"/>
      <c r="H582" s="209"/>
      <c r="I582" s="209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 spans="2:24">
      <c r="B583" s="16"/>
      <c r="C583" s="16"/>
      <c r="D583" s="16"/>
      <c r="E583" s="16"/>
      <c r="F583" s="209"/>
      <c r="G583" s="209"/>
      <c r="H583" s="209"/>
      <c r="I583" s="209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 spans="2:24">
      <c r="B584" s="16"/>
      <c r="C584" s="16"/>
      <c r="D584" s="16"/>
      <c r="E584" s="16"/>
      <c r="F584" s="209"/>
      <c r="G584" s="209"/>
      <c r="H584" s="209"/>
      <c r="I584" s="209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 spans="2:24">
      <c r="B585" s="16"/>
      <c r="C585" s="16"/>
      <c r="D585" s="16"/>
      <c r="E585" s="16"/>
      <c r="F585" s="209"/>
      <c r="G585" s="209"/>
      <c r="H585" s="209"/>
      <c r="I585" s="209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 spans="2:24">
      <c r="B586" s="16"/>
      <c r="C586" s="16"/>
      <c r="D586" s="16"/>
      <c r="E586" s="16"/>
      <c r="F586" s="209"/>
      <c r="G586" s="209"/>
      <c r="H586" s="209"/>
      <c r="I586" s="209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 spans="2:24">
      <c r="B587" s="16"/>
      <c r="C587" s="16"/>
      <c r="D587" s="16"/>
      <c r="E587" s="16"/>
      <c r="F587" s="209"/>
      <c r="G587" s="209"/>
      <c r="H587" s="209"/>
      <c r="I587" s="209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 spans="2:24">
      <c r="B588" s="16"/>
      <c r="C588" s="16"/>
      <c r="D588" s="16"/>
      <c r="E588" s="16"/>
      <c r="F588" s="209"/>
      <c r="G588" s="209"/>
      <c r="H588" s="209"/>
      <c r="I588" s="209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 spans="2:24">
      <c r="B589" s="16"/>
      <c r="C589" s="16"/>
      <c r="D589" s="16"/>
      <c r="E589" s="16"/>
      <c r="F589" s="209"/>
      <c r="G589" s="209"/>
      <c r="H589" s="209"/>
      <c r="I589" s="209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 spans="2:24">
      <c r="B590" s="16"/>
      <c r="C590" s="16"/>
      <c r="D590" s="16"/>
      <c r="E590" s="16"/>
      <c r="F590" s="209"/>
      <c r="G590" s="209"/>
      <c r="H590" s="209"/>
      <c r="I590" s="209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 spans="2:24">
      <c r="B591" s="16"/>
      <c r="C591" s="16"/>
      <c r="D591" s="16"/>
      <c r="E591" s="16"/>
      <c r="F591" s="209"/>
      <c r="G591" s="209"/>
      <c r="H591" s="209"/>
      <c r="I591" s="209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 spans="2:24">
      <c r="B592" s="16"/>
      <c r="C592" s="16"/>
      <c r="D592" s="16"/>
      <c r="E592" s="16"/>
      <c r="F592" s="209"/>
      <c r="G592" s="209"/>
      <c r="H592" s="209"/>
      <c r="I592" s="209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 spans="2:24">
      <c r="B593" s="16"/>
      <c r="C593" s="16"/>
      <c r="D593" s="16"/>
      <c r="E593" s="16"/>
      <c r="F593" s="209"/>
      <c r="G593" s="209"/>
      <c r="H593" s="209"/>
      <c r="I593" s="209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 spans="2:24">
      <c r="B594" s="16"/>
      <c r="C594" s="16"/>
      <c r="D594" s="16"/>
      <c r="E594" s="16"/>
      <c r="F594" s="209"/>
      <c r="G594" s="209"/>
      <c r="H594" s="209"/>
      <c r="I594" s="209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 spans="2:24">
      <c r="B595" s="16"/>
      <c r="C595" s="16"/>
      <c r="D595" s="16"/>
      <c r="E595" s="16"/>
      <c r="F595" s="209"/>
      <c r="G595" s="209"/>
      <c r="H595" s="209"/>
      <c r="I595" s="209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 spans="2:24">
      <c r="B596" s="16"/>
      <c r="C596" s="16"/>
      <c r="D596" s="16"/>
      <c r="E596" s="16"/>
      <c r="F596" s="209"/>
      <c r="G596" s="209"/>
      <c r="H596" s="209"/>
      <c r="I596" s="209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 spans="2:24">
      <c r="B597" s="16"/>
      <c r="C597" s="16"/>
      <c r="D597" s="16"/>
      <c r="E597" s="16"/>
      <c r="F597" s="209"/>
      <c r="G597" s="209"/>
      <c r="H597" s="209"/>
      <c r="I597" s="209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 spans="2:24">
      <c r="B598" s="16"/>
      <c r="C598" s="16"/>
      <c r="D598" s="16"/>
      <c r="E598" s="16"/>
      <c r="F598" s="209"/>
      <c r="G598" s="209"/>
      <c r="H598" s="209"/>
      <c r="I598" s="209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 spans="2:24">
      <c r="B599" s="16"/>
      <c r="C599" s="16"/>
      <c r="D599" s="16"/>
      <c r="E599" s="16"/>
      <c r="F599" s="209"/>
      <c r="G599" s="209"/>
      <c r="H599" s="209"/>
      <c r="I599" s="209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 spans="2:24">
      <c r="B600" s="16"/>
      <c r="C600" s="16"/>
      <c r="D600" s="16"/>
      <c r="E600" s="16"/>
      <c r="F600" s="209"/>
      <c r="G600" s="209"/>
      <c r="H600" s="209"/>
      <c r="I600" s="209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 spans="2:24">
      <c r="B601" s="16"/>
      <c r="C601" s="16"/>
      <c r="D601" s="16"/>
      <c r="E601" s="16"/>
      <c r="F601" s="209"/>
      <c r="G601" s="209"/>
      <c r="H601" s="209"/>
      <c r="I601" s="209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 spans="2:24">
      <c r="B602" s="16"/>
      <c r="C602" s="16"/>
      <c r="D602" s="16"/>
      <c r="E602" s="16"/>
      <c r="F602" s="209"/>
      <c r="G602" s="209"/>
      <c r="H602" s="209"/>
      <c r="I602" s="209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 spans="2:24">
      <c r="B603" s="16"/>
      <c r="C603" s="16"/>
      <c r="D603" s="16"/>
      <c r="E603" s="16"/>
      <c r="F603" s="209"/>
      <c r="G603" s="209"/>
      <c r="H603" s="209"/>
      <c r="I603" s="209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 spans="2:24">
      <c r="B604" s="16"/>
      <c r="C604" s="16"/>
      <c r="D604" s="16"/>
      <c r="E604" s="16"/>
      <c r="F604" s="209"/>
      <c r="G604" s="209"/>
      <c r="H604" s="209"/>
      <c r="I604" s="209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 spans="2:24">
      <c r="B605" s="16"/>
      <c r="C605" s="16"/>
      <c r="D605" s="16"/>
      <c r="E605" s="16"/>
      <c r="F605" s="209"/>
      <c r="G605" s="209"/>
      <c r="H605" s="209"/>
      <c r="I605" s="209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 spans="2:24">
      <c r="B606" s="16"/>
      <c r="C606" s="16"/>
      <c r="D606" s="16"/>
      <c r="E606" s="16"/>
      <c r="F606" s="209"/>
      <c r="G606" s="209"/>
      <c r="H606" s="209"/>
      <c r="I606" s="209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 spans="2:24">
      <c r="B607" s="16"/>
      <c r="C607" s="16"/>
      <c r="D607" s="16"/>
      <c r="E607" s="16"/>
      <c r="F607" s="209"/>
      <c r="G607" s="209"/>
      <c r="H607" s="209"/>
      <c r="I607" s="209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 spans="2:24">
      <c r="B608" s="16"/>
      <c r="C608" s="16"/>
      <c r="D608" s="16"/>
      <c r="E608" s="16"/>
      <c r="F608" s="209"/>
      <c r="G608" s="209"/>
      <c r="H608" s="209"/>
      <c r="I608" s="209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 spans="2:24">
      <c r="B609" s="16"/>
      <c r="C609" s="16"/>
      <c r="D609" s="16"/>
      <c r="E609" s="16"/>
      <c r="F609" s="209"/>
      <c r="G609" s="209"/>
      <c r="H609" s="209"/>
      <c r="I609" s="209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 spans="2:24">
      <c r="B610" s="16"/>
      <c r="C610" s="16"/>
      <c r="D610" s="16"/>
      <c r="E610" s="16"/>
      <c r="F610" s="209"/>
      <c r="G610" s="209"/>
      <c r="H610" s="209"/>
      <c r="I610" s="209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 spans="2:24">
      <c r="B611" s="16"/>
      <c r="C611" s="16"/>
      <c r="D611" s="16"/>
      <c r="E611" s="16"/>
      <c r="F611" s="209"/>
      <c r="G611" s="209"/>
      <c r="H611" s="209"/>
      <c r="I611" s="209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 spans="2:24">
      <c r="B612" s="16"/>
      <c r="C612" s="16"/>
      <c r="D612" s="16"/>
      <c r="E612" s="16"/>
      <c r="F612" s="209"/>
      <c r="G612" s="209"/>
      <c r="H612" s="209"/>
      <c r="I612" s="209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 spans="2:24">
      <c r="B613" s="16"/>
      <c r="C613" s="16"/>
      <c r="D613" s="16"/>
      <c r="E613" s="16"/>
      <c r="F613" s="209"/>
      <c r="G613" s="209"/>
      <c r="H613" s="209"/>
      <c r="I613" s="209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 spans="2:24">
      <c r="B614" s="16"/>
      <c r="C614" s="16"/>
      <c r="D614" s="16"/>
      <c r="E614" s="16"/>
      <c r="F614" s="209"/>
      <c r="G614" s="209"/>
      <c r="H614" s="209"/>
      <c r="I614" s="209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 spans="2:24">
      <c r="B615" s="16"/>
      <c r="C615" s="16"/>
      <c r="D615" s="16"/>
      <c r="E615" s="16"/>
      <c r="F615" s="209"/>
      <c r="G615" s="209"/>
      <c r="H615" s="209"/>
      <c r="I615" s="209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 spans="2:24">
      <c r="B616" s="16"/>
      <c r="C616" s="16"/>
      <c r="D616" s="16"/>
      <c r="E616" s="16"/>
      <c r="F616" s="209"/>
      <c r="G616" s="209"/>
      <c r="H616" s="209"/>
      <c r="I616" s="209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 spans="2:24">
      <c r="B617" s="16"/>
      <c r="C617" s="16"/>
      <c r="D617" s="16"/>
      <c r="E617" s="16"/>
      <c r="F617" s="209"/>
      <c r="G617" s="209"/>
      <c r="H617" s="209"/>
      <c r="I617" s="209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 spans="2:24">
      <c r="B618" s="16"/>
      <c r="C618" s="16"/>
      <c r="D618" s="16"/>
      <c r="E618" s="16"/>
      <c r="F618" s="209"/>
      <c r="G618" s="209"/>
      <c r="H618" s="209"/>
      <c r="I618" s="209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 spans="2:24">
      <c r="B619" s="16"/>
      <c r="C619" s="16"/>
      <c r="D619" s="16"/>
      <c r="E619" s="16"/>
      <c r="F619" s="209"/>
      <c r="G619" s="209"/>
      <c r="H619" s="209"/>
      <c r="I619" s="209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 spans="2:24">
      <c r="B620" s="16"/>
      <c r="C620" s="16"/>
      <c r="D620" s="16"/>
      <c r="E620" s="16"/>
      <c r="F620" s="209"/>
      <c r="G620" s="209"/>
      <c r="H620" s="209"/>
      <c r="I620" s="209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 spans="2:24">
      <c r="B621" s="16"/>
      <c r="C621" s="16"/>
      <c r="D621" s="16"/>
      <c r="E621" s="16"/>
      <c r="F621" s="209"/>
      <c r="G621" s="209"/>
      <c r="H621" s="209"/>
      <c r="I621" s="209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 spans="2:24">
      <c r="B622" s="16"/>
      <c r="C622" s="16"/>
      <c r="D622" s="16"/>
      <c r="E622" s="16"/>
      <c r="F622" s="209"/>
      <c r="G622" s="209"/>
      <c r="H622" s="209"/>
      <c r="I622" s="209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 spans="2:24">
      <c r="B623" s="16"/>
      <c r="C623" s="16"/>
      <c r="D623" s="16"/>
      <c r="E623" s="16"/>
      <c r="F623" s="209"/>
      <c r="G623" s="209"/>
      <c r="H623" s="209"/>
      <c r="I623" s="209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 spans="2:24">
      <c r="B624" s="16"/>
      <c r="C624" s="16"/>
      <c r="D624" s="16"/>
      <c r="E624" s="16"/>
      <c r="F624" s="209"/>
      <c r="G624" s="209"/>
      <c r="H624" s="209"/>
      <c r="I624" s="209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 spans="2:24">
      <c r="B625" s="16"/>
      <c r="C625" s="16"/>
      <c r="D625" s="16"/>
      <c r="E625" s="16"/>
      <c r="F625" s="209"/>
      <c r="G625" s="209"/>
      <c r="H625" s="209"/>
      <c r="I625" s="209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 spans="2:24">
      <c r="B626" s="16"/>
      <c r="C626" s="16"/>
      <c r="D626" s="16"/>
      <c r="E626" s="16"/>
      <c r="F626" s="209"/>
      <c r="G626" s="209"/>
      <c r="H626" s="209"/>
      <c r="I626" s="209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 spans="2:24">
      <c r="B627" s="16"/>
      <c r="C627" s="16"/>
      <c r="D627" s="16"/>
      <c r="E627" s="16"/>
      <c r="F627" s="209"/>
      <c r="G627" s="209"/>
      <c r="H627" s="209"/>
      <c r="I627" s="209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 spans="2:24">
      <c r="B628" s="16"/>
      <c r="C628" s="16"/>
      <c r="D628" s="16"/>
      <c r="E628" s="16"/>
      <c r="F628" s="209"/>
      <c r="G628" s="209"/>
      <c r="H628" s="209"/>
      <c r="I628" s="209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 spans="2:24">
      <c r="B629" s="16"/>
      <c r="C629" s="16"/>
      <c r="D629" s="16"/>
      <c r="E629" s="16"/>
      <c r="F629" s="209"/>
      <c r="G629" s="209"/>
      <c r="H629" s="209"/>
      <c r="I629" s="209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 spans="2:24">
      <c r="B630" s="16"/>
      <c r="C630" s="16"/>
      <c r="D630" s="16"/>
      <c r="E630" s="16"/>
      <c r="F630" s="209"/>
      <c r="G630" s="209"/>
      <c r="H630" s="209"/>
      <c r="I630" s="209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 spans="2:24">
      <c r="B631" s="16"/>
      <c r="C631" s="16"/>
      <c r="D631" s="16"/>
      <c r="E631" s="16"/>
      <c r="F631" s="209"/>
      <c r="G631" s="209"/>
      <c r="H631" s="209"/>
      <c r="I631" s="209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 spans="2:24">
      <c r="B632" s="16"/>
      <c r="C632" s="16"/>
      <c r="D632" s="16"/>
      <c r="E632" s="16"/>
      <c r="F632" s="209"/>
      <c r="G632" s="209"/>
      <c r="H632" s="209"/>
      <c r="I632" s="209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 spans="2:24">
      <c r="B633" s="16"/>
      <c r="C633" s="16"/>
      <c r="D633" s="16"/>
      <c r="E633" s="16"/>
      <c r="F633" s="209"/>
      <c r="G633" s="209"/>
      <c r="H633" s="209"/>
      <c r="I633" s="209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 spans="2:24">
      <c r="B634" s="16"/>
      <c r="C634" s="16"/>
      <c r="D634" s="16"/>
      <c r="E634" s="16"/>
      <c r="F634" s="209"/>
      <c r="G634" s="209"/>
      <c r="H634" s="209"/>
      <c r="I634" s="209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 spans="2:24">
      <c r="B635" s="16"/>
      <c r="C635" s="16"/>
      <c r="D635" s="16"/>
      <c r="E635" s="16"/>
      <c r="F635" s="209"/>
      <c r="G635" s="209"/>
      <c r="H635" s="209"/>
      <c r="I635" s="209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 spans="2:24">
      <c r="B636" s="16"/>
      <c r="C636" s="16"/>
      <c r="D636" s="16"/>
      <c r="E636" s="16"/>
      <c r="F636" s="209"/>
      <c r="G636" s="209"/>
      <c r="H636" s="209"/>
      <c r="I636" s="209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 spans="2:24">
      <c r="B637" s="16"/>
      <c r="C637" s="16"/>
      <c r="D637" s="16"/>
      <c r="E637" s="16"/>
      <c r="F637" s="209"/>
      <c r="G637" s="209"/>
      <c r="H637" s="209"/>
      <c r="I637" s="209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 spans="2:24">
      <c r="B638" s="16"/>
      <c r="C638" s="16"/>
      <c r="D638" s="16"/>
      <c r="E638" s="16"/>
      <c r="F638" s="209"/>
      <c r="G638" s="209"/>
      <c r="H638" s="209"/>
      <c r="I638" s="209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 spans="2:24">
      <c r="B639" s="16"/>
      <c r="C639" s="16"/>
      <c r="D639" s="16"/>
      <c r="E639" s="16"/>
      <c r="F639" s="209"/>
      <c r="G639" s="209"/>
      <c r="H639" s="209"/>
      <c r="I639" s="209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 spans="2:24">
      <c r="B640" s="16"/>
      <c r="C640" s="16"/>
      <c r="D640" s="16"/>
      <c r="E640" s="16"/>
      <c r="F640" s="209"/>
      <c r="G640" s="209"/>
      <c r="H640" s="209"/>
      <c r="I640" s="209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 spans="2:24">
      <c r="B641" s="16"/>
      <c r="C641" s="16"/>
      <c r="D641" s="16"/>
      <c r="E641" s="16"/>
      <c r="F641" s="209"/>
      <c r="G641" s="209"/>
      <c r="H641" s="209"/>
      <c r="I641" s="209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 spans="2:24">
      <c r="B642" s="16"/>
      <c r="C642" s="16"/>
      <c r="D642" s="16"/>
      <c r="E642" s="16"/>
      <c r="F642" s="209"/>
      <c r="G642" s="209"/>
      <c r="H642" s="209"/>
      <c r="I642" s="209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 spans="2:24">
      <c r="B643" s="16"/>
      <c r="C643" s="16"/>
      <c r="D643" s="16"/>
      <c r="E643" s="16"/>
      <c r="F643" s="209"/>
      <c r="G643" s="209"/>
      <c r="H643" s="209"/>
      <c r="I643" s="209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 spans="2:24">
      <c r="B644" s="16"/>
      <c r="C644" s="16"/>
      <c r="D644" s="16"/>
      <c r="E644" s="16"/>
      <c r="F644" s="209"/>
      <c r="G644" s="209"/>
      <c r="H644" s="209"/>
      <c r="I644" s="209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 spans="2:24">
      <c r="B645" s="16"/>
      <c r="C645" s="16"/>
      <c r="D645" s="16"/>
      <c r="E645" s="16"/>
      <c r="F645" s="209"/>
      <c r="G645" s="209"/>
      <c r="H645" s="209"/>
      <c r="I645" s="209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 spans="2:24">
      <c r="B646" s="16"/>
      <c r="C646" s="16"/>
      <c r="D646" s="16"/>
      <c r="E646" s="16"/>
      <c r="F646" s="209"/>
      <c r="G646" s="209"/>
      <c r="H646" s="209"/>
      <c r="I646" s="209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 spans="2:24">
      <c r="B647" s="16"/>
      <c r="C647" s="16"/>
      <c r="D647" s="16"/>
      <c r="E647" s="16"/>
      <c r="F647" s="209"/>
      <c r="G647" s="209"/>
      <c r="H647" s="209"/>
      <c r="I647" s="209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 spans="2:24">
      <c r="B648" s="16"/>
      <c r="C648" s="16"/>
      <c r="D648" s="16"/>
      <c r="E648" s="16"/>
      <c r="F648" s="209"/>
      <c r="G648" s="209"/>
      <c r="H648" s="209"/>
      <c r="I648" s="209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 spans="2:24">
      <c r="B649" s="16"/>
      <c r="C649" s="16"/>
      <c r="D649" s="16"/>
      <c r="E649" s="16"/>
      <c r="F649" s="209"/>
      <c r="G649" s="209"/>
      <c r="H649" s="209"/>
      <c r="I649" s="209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 spans="2:24">
      <c r="B650" s="16"/>
      <c r="C650" s="16"/>
      <c r="D650" s="16"/>
      <c r="E650" s="16"/>
      <c r="F650" s="209"/>
      <c r="G650" s="209"/>
      <c r="H650" s="209"/>
      <c r="I650" s="209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 spans="2:24">
      <c r="B651" s="16"/>
      <c r="C651" s="16"/>
      <c r="D651" s="16"/>
      <c r="E651" s="16"/>
      <c r="F651" s="209"/>
      <c r="G651" s="209"/>
      <c r="H651" s="209"/>
      <c r="I651" s="209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 spans="2:24">
      <c r="B652" s="16"/>
      <c r="C652" s="16"/>
      <c r="D652" s="16"/>
      <c r="E652" s="16"/>
      <c r="F652" s="209"/>
      <c r="G652" s="209"/>
      <c r="H652" s="209"/>
      <c r="I652" s="209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 spans="2:24">
      <c r="B653" s="16"/>
      <c r="C653" s="16"/>
      <c r="D653" s="16"/>
      <c r="E653" s="16"/>
      <c r="F653" s="209"/>
      <c r="G653" s="209"/>
      <c r="H653" s="209"/>
      <c r="I653" s="209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 spans="2:24">
      <c r="B654" s="16"/>
      <c r="C654" s="16"/>
      <c r="D654" s="16"/>
      <c r="E654" s="16"/>
      <c r="F654" s="209"/>
      <c r="G654" s="209"/>
      <c r="H654" s="209"/>
      <c r="I654" s="209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 spans="2:24">
      <c r="B655" s="16"/>
      <c r="C655" s="16"/>
      <c r="D655" s="16"/>
      <c r="E655" s="16"/>
      <c r="F655" s="209"/>
      <c r="G655" s="209"/>
      <c r="H655" s="209"/>
      <c r="I655" s="209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 spans="2:24">
      <c r="B656" s="16"/>
      <c r="C656" s="16"/>
      <c r="D656" s="16"/>
      <c r="E656" s="16"/>
      <c r="F656" s="209"/>
      <c r="G656" s="209"/>
      <c r="H656" s="209"/>
      <c r="I656" s="209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 spans="2:24">
      <c r="B657" s="16"/>
      <c r="C657" s="16"/>
      <c r="D657" s="16"/>
      <c r="E657" s="16"/>
      <c r="F657" s="209"/>
      <c r="G657" s="209"/>
      <c r="H657" s="209"/>
      <c r="I657" s="209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 spans="2:24">
      <c r="B658" s="16"/>
      <c r="C658" s="16"/>
      <c r="D658" s="16"/>
      <c r="E658" s="16"/>
      <c r="F658" s="209"/>
      <c r="G658" s="209"/>
      <c r="H658" s="209"/>
      <c r="I658" s="209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 spans="2:24">
      <c r="B659" s="16"/>
      <c r="C659" s="16"/>
      <c r="D659" s="16"/>
      <c r="E659" s="16"/>
      <c r="F659" s="209"/>
      <c r="G659" s="209"/>
      <c r="H659" s="209"/>
      <c r="I659" s="209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 spans="2:24">
      <c r="B660" s="16"/>
      <c r="C660" s="16"/>
      <c r="D660" s="16"/>
      <c r="E660" s="16"/>
      <c r="F660" s="209"/>
      <c r="G660" s="209"/>
      <c r="H660" s="209"/>
      <c r="I660" s="209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 spans="2:24">
      <c r="B661" s="16"/>
      <c r="C661" s="16"/>
      <c r="D661" s="16"/>
      <c r="E661" s="16"/>
      <c r="F661" s="209"/>
      <c r="G661" s="209"/>
      <c r="H661" s="209"/>
      <c r="I661" s="209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 spans="2:24">
      <c r="B662" s="16"/>
      <c r="C662" s="16"/>
      <c r="D662" s="16"/>
      <c r="E662" s="16"/>
      <c r="F662" s="209"/>
      <c r="G662" s="209"/>
      <c r="H662" s="209"/>
      <c r="I662" s="209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 spans="2:24">
      <c r="B663" s="16"/>
      <c r="C663" s="16"/>
      <c r="D663" s="16"/>
      <c r="E663" s="16"/>
      <c r="F663" s="209"/>
      <c r="G663" s="209"/>
      <c r="H663" s="209"/>
      <c r="I663" s="209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 spans="2:24">
      <c r="B664" s="16"/>
      <c r="C664" s="16"/>
      <c r="D664" s="16"/>
      <c r="E664" s="16"/>
      <c r="F664" s="209"/>
      <c r="G664" s="209"/>
      <c r="H664" s="209"/>
      <c r="I664" s="209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 spans="2:24">
      <c r="B665" s="16"/>
      <c r="C665" s="16"/>
      <c r="D665" s="16"/>
      <c r="E665" s="16"/>
      <c r="F665" s="209"/>
      <c r="G665" s="209"/>
      <c r="H665" s="209"/>
      <c r="I665" s="209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 spans="2:24">
      <c r="B666" s="16"/>
      <c r="C666" s="16"/>
      <c r="D666" s="16"/>
      <c r="E666" s="16"/>
      <c r="F666" s="209"/>
      <c r="G666" s="209"/>
      <c r="H666" s="209"/>
      <c r="I666" s="209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 spans="2:24">
      <c r="B667" s="16"/>
      <c r="C667" s="16"/>
      <c r="D667" s="16"/>
      <c r="E667" s="16"/>
      <c r="F667" s="209"/>
      <c r="G667" s="209"/>
      <c r="H667" s="209"/>
      <c r="I667" s="209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 spans="2:24">
      <c r="B668" s="16"/>
      <c r="C668" s="16"/>
      <c r="D668" s="16"/>
      <c r="E668" s="16"/>
      <c r="F668" s="209"/>
      <c r="G668" s="209"/>
      <c r="H668" s="209"/>
      <c r="I668" s="209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 spans="2:24">
      <c r="B669" s="16"/>
      <c r="C669" s="16"/>
      <c r="D669" s="16"/>
      <c r="E669" s="16"/>
      <c r="F669" s="209"/>
      <c r="G669" s="209"/>
      <c r="H669" s="209"/>
      <c r="I669" s="209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 spans="2:24">
      <c r="B670" s="16"/>
      <c r="C670" s="16"/>
      <c r="D670" s="16"/>
      <c r="E670" s="16"/>
      <c r="F670" s="209"/>
      <c r="G670" s="209"/>
      <c r="H670" s="209"/>
      <c r="I670" s="209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 spans="2:24">
      <c r="B671" s="16"/>
      <c r="C671" s="16"/>
      <c r="D671" s="16"/>
      <c r="E671" s="16"/>
      <c r="F671" s="209"/>
      <c r="G671" s="209"/>
      <c r="H671" s="209"/>
      <c r="I671" s="209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 spans="2:24">
      <c r="B672" s="16"/>
      <c r="C672" s="16"/>
      <c r="D672" s="16"/>
      <c r="E672" s="16"/>
      <c r="F672" s="209"/>
      <c r="G672" s="209"/>
      <c r="H672" s="209"/>
      <c r="I672" s="209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 spans="2:24">
      <c r="B673" s="16"/>
      <c r="C673" s="16"/>
      <c r="D673" s="16"/>
      <c r="E673" s="16"/>
      <c r="F673" s="209"/>
      <c r="G673" s="209"/>
      <c r="H673" s="209"/>
      <c r="I673" s="209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 spans="2:24">
      <c r="B674" s="16"/>
      <c r="C674" s="16"/>
      <c r="D674" s="16"/>
      <c r="E674" s="16"/>
      <c r="F674" s="209"/>
      <c r="G674" s="209"/>
      <c r="H674" s="209"/>
      <c r="I674" s="209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 spans="2:24">
      <c r="B675" s="16"/>
      <c r="C675" s="16"/>
      <c r="D675" s="16"/>
      <c r="E675" s="16"/>
      <c r="F675" s="209"/>
      <c r="G675" s="209"/>
      <c r="H675" s="209"/>
      <c r="I675" s="209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 spans="2:24">
      <c r="B676" s="16"/>
      <c r="C676" s="16"/>
      <c r="D676" s="16"/>
      <c r="E676" s="16"/>
      <c r="F676" s="209"/>
      <c r="G676" s="209"/>
      <c r="H676" s="209"/>
      <c r="I676" s="209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 spans="2:24">
      <c r="B677" s="16"/>
      <c r="C677" s="16"/>
      <c r="D677" s="16"/>
      <c r="E677" s="16"/>
      <c r="F677" s="209"/>
      <c r="G677" s="209"/>
      <c r="H677" s="209"/>
      <c r="I677" s="209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 spans="2:24">
      <c r="B678" s="16"/>
      <c r="C678" s="16"/>
      <c r="D678" s="16"/>
      <c r="E678" s="16"/>
      <c r="F678" s="209"/>
      <c r="G678" s="209"/>
      <c r="H678" s="209"/>
      <c r="I678" s="209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 spans="2:24">
      <c r="B679" s="16"/>
      <c r="C679" s="16"/>
      <c r="D679" s="16"/>
      <c r="E679" s="16"/>
      <c r="F679" s="209"/>
      <c r="G679" s="209"/>
      <c r="H679" s="209"/>
      <c r="I679" s="209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 spans="2:24">
      <c r="B680" s="16"/>
      <c r="C680" s="16"/>
      <c r="D680" s="16"/>
      <c r="E680" s="16"/>
      <c r="F680" s="209"/>
      <c r="G680" s="209"/>
      <c r="H680" s="209"/>
      <c r="I680" s="209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 spans="2:24">
      <c r="B681" s="16"/>
      <c r="C681" s="16"/>
      <c r="D681" s="16"/>
      <c r="E681" s="16"/>
      <c r="F681" s="209"/>
      <c r="G681" s="209"/>
      <c r="H681" s="209"/>
      <c r="I681" s="209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 spans="2:24">
      <c r="B682" s="16"/>
      <c r="C682" s="16"/>
      <c r="D682" s="16"/>
      <c r="E682" s="16"/>
      <c r="F682" s="209"/>
      <c r="G682" s="209"/>
      <c r="H682" s="209"/>
      <c r="I682" s="209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 spans="2:24">
      <c r="B683" s="16"/>
      <c r="C683" s="16"/>
      <c r="D683" s="16"/>
      <c r="E683" s="16"/>
      <c r="F683" s="209"/>
      <c r="G683" s="209"/>
      <c r="H683" s="209"/>
      <c r="I683" s="209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 spans="2:24">
      <c r="B684" s="16"/>
      <c r="C684" s="16"/>
      <c r="D684" s="16"/>
      <c r="E684" s="16"/>
      <c r="F684" s="209"/>
      <c r="G684" s="209"/>
      <c r="H684" s="209"/>
      <c r="I684" s="209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 spans="2:24">
      <c r="B685" s="16"/>
      <c r="C685" s="16"/>
      <c r="D685" s="16"/>
      <c r="E685" s="16"/>
      <c r="F685" s="209"/>
      <c r="G685" s="209"/>
      <c r="H685" s="209"/>
      <c r="I685" s="209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 spans="2:24">
      <c r="B686" s="16"/>
      <c r="C686" s="16"/>
      <c r="D686" s="16"/>
      <c r="E686" s="16"/>
      <c r="F686" s="209"/>
      <c r="G686" s="209"/>
      <c r="H686" s="209"/>
      <c r="I686" s="209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 spans="2:24">
      <c r="B687" s="16"/>
      <c r="C687" s="16"/>
      <c r="D687" s="16"/>
      <c r="E687" s="16"/>
      <c r="F687" s="209"/>
      <c r="G687" s="209"/>
      <c r="H687" s="209"/>
      <c r="I687" s="209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 spans="2:24">
      <c r="B688" s="16"/>
      <c r="C688" s="16"/>
      <c r="D688" s="16"/>
      <c r="E688" s="16"/>
      <c r="F688" s="209"/>
      <c r="G688" s="209"/>
      <c r="H688" s="209"/>
      <c r="I688" s="209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 spans="2:24">
      <c r="B689" s="16"/>
      <c r="C689" s="16"/>
      <c r="D689" s="16"/>
      <c r="E689" s="16"/>
      <c r="F689" s="209"/>
      <c r="G689" s="209"/>
      <c r="H689" s="209"/>
      <c r="I689" s="209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 spans="2:24">
      <c r="B690" s="16"/>
      <c r="C690" s="16"/>
      <c r="D690" s="16"/>
      <c r="E690" s="16"/>
      <c r="F690" s="209"/>
      <c r="G690" s="209"/>
      <c r="H690" s="209"/>
      <c r="I690" s="209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 spans="2:24">
      <c r="B691" s="16"/>
      <c r="C691" s="16"/>
      <c r="D691" s="16"/>
      <c r="E691" s="16"/>
      <c r="F691" s="209"/>
      <c r="G691" s="209"/>
      <c r="H691" s="209"/>
      <c r="I691" s="209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 spans="2:24">
      <c r="B692" s="16"/>
      <c r="C692" s="16"/>
      <c r="D692" s="16"/>
      <c r="E692" s="16"/>
      <c r="F692" s="209"/>
      <c r="G692" s="209"/>
      <c r="H692" s="209"/>
      <c r="I692" s="209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 spans="2:24">
      <c r="B693" s="16"/>
      <c r="C693" s="16"/>
      <c r="D693" s="16"/>
      <c r="E693" s="16"/>
      <c r="F693" s="209"/>
      <c r="G693" s="209"/>
      <c r="H693" s="209"/>
      <c r="I693" s="209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 spans="2:24">
      <c r="B694" s="16"/>
      <c r="C694" s="16"/>
      <c r="D694" s="16"/>
      <c r="E694" s="16"/>
      <c r="F694" s="209"/>
      <c r="G694" s="209"/>
      <c r="H694" s="209"/>
      <c r="I694" s="209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 spans="2:24">
      <c r="B695" s="16"/>
      <c r="C695" s="16"/>
      <c r="D695" s="16"/>
      <c r="E695" s="16"/>
      <c r="F695" s="209"/>
      <c r="G695" s="209"/>
      <c r="H695" s="209"/>
      <c r="I695" s="209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 spans="2:24">
      <c r="B696" s="16"/>
      <c r="C696" s="16"/>
      <c r="D696" s="16"/>
      <c r="E696" s="16"/>
      <c r="F696" s="209"/>
      <c r="G696" s="209"/>
      <c r="H696" s="209"/>
      <c r="I696" s="209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 spans="2:24">
      <c r="B697" s="16"/>
      <c r="C697" s="16"/>
      <c r="D697" s="16"/>
      <c r="E697" s="16"/>
      <c r="F697" s="209"/>
      <c r="G697" s="209"/>
      <c r="H697" s="209"/>
      <c r="I697" s="209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 spans="2:24">
      <c r="B698" s="16"/>
      <c r="C698" s="16"/>
      <c r="D698" s="16"/>
      <c r="E698" s="16"/>
      <c r="F698" s="209"/>
      <c r="G698" s="209"/>
      <c r="H698" s="209"/>
      <c r="I698" s="209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 spans="2:24">
      <c r="B699" s="16"/>
      <c r="C699" s="16"/>
      <c r="D699" s="16"/>
      <c r="E699" s="16"/>
      <c r="F699" s="209"/>
      <c r="G699" s="209"/>
      <c r="H699" s="209"/>
      <c r="I699" s="209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 spans="2:24">
      <c r="B700" s="16"/>
      <c r="C700" s="16"/>
      <c r="D700" s="16"/>
      <c r="E700" s="16"/>
      <c r="F700" s="209"/>
      <c r="G700" s="209"/>
      <c r="H700" s="209"/>
      <c r="I700" s="209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 spans="2:24">
      <c r="B701" s="16"/>
      <c r="C701" s="16"/>
      <c r="D701" s="16"/>
      <c r="E701" s="16"/>
      <c r="F701" s="209"/>
      <c r="G701" s="209"/>
      <c r="H701" s="209"/>
      <c r="I701" s="209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 spans="2:24">
      <c r="B702" s="16"/>
      <c r="C702" s="16"/>
      <c r="D702" s="16"/>
      <c r="E702" s="16"/>
      <c r="F702" s="209"/>
      <c r="G702" s="209"/>
      <c r="H702" s="209"/>
      <c r="I702" s="209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 spans="2:24">
      <c r="B703" s="16"/>
      <c r="C703" s="16"/>
      <c r="D703" s="16"/>
      <c r="E703" s="16"/>
      <c r="F703" s="209"/>
      <c r="G703" s="209"/>
      <c r="H703" s="209"/>
      <c r="I703" s="209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 spans="2:24">
      <c r="B704" s="16"/>
      <c r="C704" s="16"/>
      <c r="D704" s="16"/>
      <c r="E704" s="16"/>
      <c r="F704" s="209"/>
      <c r="G704" s="209"/>
      <c r="H704" s="209"/>
      <c r="I704" s="209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 spans="2:24">
      <c r="B705" s="16"/>
      <c r="C705" s="16"/>
      <c r="D705" s="16"/>
      <c r="E705" s="16"/>
      <c r="F705" s="209"/>
      <c r="G705" s="209"/>
      <c r="H705" s="209"/>
      <c r="I705" s="209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 spans="2:24">
      <c r="B706" s="16"/>
      <c r="C706" s="16"/>
      <c r="D706" s="16"/>
      <c r="E706" s="16"/>
      <c r="F706" s="209"/>
      <c r="G706" s="209"/>
      <c r="H706" s="209"/>
      <c r="I706" s="209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 spans="2:24">
      <c r="B707" s="16"/>
      <c r="C707" s="16"/>
      <c r="D707" s="16"/>
      <c r="E707" s="16"/>
      <c r="F707" s="209"/>
      <c r="G707" s="209"/>
      <c r="H707" s="209"/>
      <c r="I707" s="209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 spans="2:24">
      <c r="B708" s="16"/>
      <c r="C708" s="16"/>
      <c r="D708" s="16"/>
      <c r="E708" s="16"/>
      <c r="F708" s="209"/>
      <c r="G708" s="209"/>
      <c r="H708" s="209"/>
      <c r="I708" s="209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 spans="2:24">
      <c r="B709" s="16"/>
      <c r="C709" s="16"/>
      <c r="D709" s="16"/>
      <c r="E709" s="16"/>
      <c r="F709" s="209"/>
      <c r="G709" s="209"/>
      <c r="H709" s="209"/>
      <c r="I709" s="209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 spans="2:24">
      <c r="B710" s="16"/>
      <c r="C710" s="16"/>
      <c r="D710" s="16"/>
      <c r="E710" s="16"/>
      <c r="F710" s="209"/>
      <c r="G710" s="209"/>
      <c r="H710" s="209"/>
      <c r="I710" s="209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 spans="2:24">
      <c r="B711" s="16"/>
      <c r="C711" s="16"/>
      <c r="D711" s="16"/>
      <c r="E711" s="16"/>
      <c r="F711" s="209"/>
      <c r="G711" s="209"/>
      <c r="H711" s="209"/>
      <c r="I711" s="209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 spans="2:24">
      <c r="B712" s="16"/>
      <c r="C712" s="16"/>
      <c r="D712" s="16"/>
      <c r="E712" s="16"/>
      <c r="F712" s="209"/>
      <c r="G712" s="209"/>
      <c r="H712" s="209"/>
      <c r="I712" s="209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 spans="2:24">
      <c r="B713" s="16"/>
      <c r="C713" s="16"/>
      <c r="D713" s="16"/>
      <c r="E713" s="16"/>
      <c r="F713" s="209"/>
      <c r="G713" s="209"/>
      <c r="H713" s="209"/>
      <c r="I713" s="209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 spans="2:24">
      <c r="B714" s="16"/>
      <c r="C714" s="16"/>
      <c r="D714" s="16"/>
      <c r="E714" s="16"/>
      <c r="F714" s="209"/>
      <c r="G714" s="209"/>
      <c r="H714" s="209"/>
      <c r="I714" s="209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 spans="2:24">
      <c r="B715" s="16"/>
      <c r="C715" s="16"/>
      <c r="D715" s="16"/>
      <c r="E715" s="16"/>
      <c r="F715" s="209"/>
      <c r="G715" s="209"/>
      <c r="H715" s="209"/>
      <c r="I715" s="209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 spans="2:24">
      <c r="B716" s="16"/>
      <c r="C716" s="16"/>
      <c r="D716" s="16"/>
      <c r="E716" s="16"/>
      <c r="F716" s="209"/>
      <c r="G716" s="209"/>
      <c r="H716" s="209"/>
      <c r="I716" s="209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 spans="2:24">
      <c r="B717" s="16"/>
      <c r="C717" s="16"/>
      <c r="D717" s="16"/>
      <c r="E717" s="16"/>
      <c r="F717" s="209"/>
      <c r="G717" s="209"/>
      <c r="H717" s="209"/>
      <c r="I717" s="209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 spans="2:24">
      <c r="B718" s="16"/>
      <c r="C718" s="16"/>
      <c r="D718" s="16"/>
      <c r="E718" s="16"/>
      <c r="F718" s="209"/>
      <c r="G718" s="209"/>
      <c r="H718" s="209"/>
      <c r="I718" s="209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 spans="2:24">
      <c r="B719" s="16"/>
      <c r="C719" s="16"/>
      <c r="D719" s="16"/>
      <c r="E719" s="16"/>
      <c r="F719" s="209"/>
      <c r="G719" s="209"/>
      <c r="H719" s="209"/>
      <c r="I719" s="209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 spans="2:24">
      <c r="B720" s="16"/>
      <c r="C720" s="16"/>
      <c r="D720" s="16"/>
      <c r="E720" s="16"/>
      <c r="F720" s="209"/>
      <c r="G720" s="209"/>
      <c r="H720" s="209"/>
      <c r="I720" s="209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 spans="2:24">
      <c r="B721" s="16"/>
      <c r="C721" s="16"/>
      <c r="D721" s="16"/>
      <c r="E721" s="16"/>
      <c r="F721" s="209"/>
      <c r="G721" s="209"/>
      <c r="H721" s="209"/>
      <c r="I721" s="209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 spans="2:24">
      <c r="B722" s="16"/>
      <c r="C722" s="16"/>
      <c r="D722" s="16"/>
      <c r="E722" s="16"/>
      <c r="F722" s="209"/>
      <c r="G722" s="209"/>
      <c r="H722" s="209"/>
      <c r="I722" s="209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 spans="2:24">
      <c r="B723" s="16"/>
      <c r="C723" s="16"/>
      <c r="D723" s="16"/>
      <c r="E723" s="16"/>
      <c r="F723" s="209"/>
      <c r="G723" s="209"/>
      <c r="H723" s="209"/>
      <c r="I723" s="209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 spans="2:24">
      <c r="B724" s="16"/>
      <c r="C724" s="16"/>
      <c r="D724" s="16"/>
      <c r="E724" s="16"/>
      <c r="F724" s="209"/>
      <c r="G724" s="209"/>
      <c r="H724" s="209"/>
      <c r="I724" s="209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 spans="2:24">
      <c r="B725" s="16"/>
      <c r="C725" s="16"/>
      <c r="D725" s="16"/>
      <c r="E725" s="16"/>
      <c r="F725" s="209"/>
      <c r="G725" s="209"/>
      <c r="H725" s="209"/>
      <c r="I725" s="209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 spans="2:24">
      <c r="B726" s="16"/>
      <c r="C726" s="16"/>
      <c r="D726" s="16"/>
      <c r="E726" s="16"/>
      <c r="F726" s="209"/>
      <c r="G726" s="209"/>
      <c r="H726" s="209"/>
      <c r="I726" s="209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 spans="2:24">
      <c r="B727" s="16"/>
      <c r="C727" s="16"/>
      <c r="D727" s="16"/>
      <c r="E727" s="16"/>
      <c r="F727" s="209"/>
      <c r="G727" s="209"/>
      <c r="H727" s="209"/>
      <c r="I727" s="209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 spans="2:24">
      <c r="B728" s="16"/>
      <c r="C728" s="16"/>
      <c r="D728" s="16"/>
      <c r="E728" s="16"/>
      <c r="F728" s="209"/>
      <c r="G728" s="209"/>
      <c r="H728" s="209"/>
      <c r="I728" s="209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 spans="2:24">
      <c r="B729" s="16"/>
      <c r="C729" s="16"/>
      <c r="D729" s="16"/>
      <c r="E729" s="16"/>
      <c r="F729" s="209"/>
      <c r="G729" s="209"/>
      <c r="H729" s="209"/>
      <c r="I729" s="209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 spans="2:24">
      <c r="B730" s="16"/>
      <c r="C730" s="16"/>
      <c r="D730" s="16"/>
      <c r="E730" s="16"/>
      <c r="F730" s="209"/>
      <c r="G730" s="209"/>
      <c r="H730" s="209"/>
      <c r="I730" s="209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 spans="2:24">
      <c r="B731" s="16"/>
      <c r="C731" s="16"/>
      <c r="D731" s="16"/>
      <c r="E731" s="16"/>
      <c r="F731" s="209"/>
      <c r="G731" s="209"/>
      <c r="H731" s="209"/>
      <c r="I731" s="209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 spans="2:24">
      <c r="B732" s="16"/>
      <c r="C732" s="16"/>
      <c r="D732" s="16"/>
      <c r="E732" s="16"/>
      <c r="F732" s="209"/>
      <c r="G732" s="209"/>
      <c r="H732" s="209"/>
      <c r="I732" s="209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 spans="2:24">
      <c r="B733" s="16"/>
      <c r="C733" s="16"/>
      <c r="D733" s="16"/>
      <c r="E733" s="16"/>
      <c r="F733" s="209"/>
      <c r="G733" s="209"/>
      <c r="H733" s="209"/>
      <c r="I733" s="209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 spans="2:24">
      <c r="B734" s="16"/>
      <c r="C734" s="16"/>
      <c r="D734" s="16"/>
      <c r="E734" s="16"/>
      <c r="F734" s="209"/>
      <c r="G734" s="209"/>
      <c r="H734" s="209"/>
      <c r="I734" s="209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 spans="2:24">
      <c r="B735" s="16"/>
      <c r="C735" s="16"/>
      <c r="D735" s="16"/>
      <c r="E735" s="16"/>
      <c r="F735" s="209"/>
      <c r="G735" s="209"/>
      <c r="H735" s="209"/>
      <c r="I735" s="209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 spans="2:24">
      <c r="B736" s="16"/>
      <c r="C736" s="16"/>
      <c r="D736" s="16"/>
      <c r="E736" s="16"/>
      <c r="F736" s="209"/>
      <c r="G736" s="209"/>
      <c r="H736" s="209"/>
      <c r="I736" s="209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 spans="2:24">
      <c r="B737" s="16"/>
      <c r="C737" s="16"/>
      <c r="D737" s="16"/>
      <c r="E737" s="16"/>
      <c r="F737" s="209"/>
      <c r="G737" s="209"/>
      <c r="H737" s="209"/>
      <c r="I737" s="209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 spans="2:24">
      <c r="B738" s="16"/>
      <c r="C738" s="16"/>
      <c r="D738" s="16"/>
      <c r="E738" s="16"/>
      <c r="F738" s="209"/>
      <c r="G738" s="209"/>
      <c r="H738" s="209"/>
      <c r="I738" s="209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 spans="2:24">
      <c r="B739" s="16"/>
      <c r="C739" s="16"/>
      <c r="D739" s="16"/>
      <c r="E739" s="16"/>
      <c r="F739" s="209"/>
      <c r="G739" s="209"/>
      <c r="H739" s="209"/>
      <c r="I739" s="209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 spans="2:24">
      <c r="B740" s="16"/>
      <c r="C740" s="16"/>
      <c r="D740" s="16"/>
      <c r="E740" s="16"/>
      <c r="F740" s="209"/>
      <c r="G740" s="209"/>
      <c r="H740" s="209"/>
      <c r="I740" s="209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 spans="2:24">
      <c r="B741" s="16"/>
      <c r="C741" s="16"/>
      <c r="D741" s="16"/>
      <c r="E741" s="16"/>
      <c r="F741" s="209"/>
      <c r="G741" s="209"/>
      <c r="H741" s="209"/>
      <c r="I741" s="209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 spans="2:24">
      <c r="B742" s="16"/>
      <c r="C742" s="16"/>
      <c r="D742" s="16"/>
      <c r="E742" s="16"/>
      <c r="F742" s="209"/>
      <c r="G742" s="209"/>
      <c r="H742" s="209"/>
      <c r="I742" s="209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 spans="2:24">
      <c r="B743" s="16"/>
      <c r="C743" s="16"/>
      <c r="D743" s="16"/>
      <c r="E743" s="16"/>
      <c r="F743" s="209"/>
      <c r="G743" s="209"/>
      <c r="H743" s="209"/>
      <c r="I743" s="209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 spans="2:24">
      <c r="B744" s="16"/>
      <c r="C744" s="16"/>
      <c r="D744" s="16"/>
      <c r="E744" s="16"/>
      <c r="F744" s="209"/>
      <c r="G744" s="209"/>
      <c r="H744" s="209"/>
      <c r="I744" s="209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 spans="2:24">
      <c r="B745" s="16"/>
      <c r="C745" s="16"/>
      <c r="D745" s="16"/>
      <c r="E745" s="16"/>
      <c r="F745" s="209"/>
      <c r="G745" s="209"/>
      <c r="H745" s="209"/>
      <c r="I745" s="209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 spans="2:24">
      <c r="B746" s="16"/>
      <c r="C746" s="16"/>
      <c r="D746" s="16"/>
      <c r="E746" s="16"/>
      <c r="F746" s="209"/>
      <c r="G746" s="209"/>
      <c r="H746" s="209"/>
      <c r="I746" s="209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 spans="2:24">
      <c r="B747" s="16"/>
      <c r="C747" s="16"/>
      <c r="D747" s="16"/>
      <c r="E747" s="16"/>
      <c r="F747" s="209"/>
      <c r="G747" s="209"/>
      <c r="H747" s="209"/>
      <c r="I747" s="209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 spans="2:24">
      <c r="B748" s="16"/>
      <c r="C748" s="16"/>
      <c r="D748" s="16"/>
      <c r="E748" s="16"/>
      <c r="F748" s="209"/>
      <c r="G748" s="209"/>
      <c r="H748" s="209"/>
      <c r="I748" s="209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 spans="2:24">
      <c r="B749" s="16"/>
      <c r="C749" s="16"/>
      <c r="D749" s="16"/>
      <c r="E749" s="16"/>
      <c r="F749" s="209"/>
      <c r="G749" s="209"/>
      <c r="H749" s="209"/>
      <c r="I749" s="209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 spans="2:24">
      <c r="B750" s="16"/>
      <c r="C750" s="16"/>
      <c r="D750" s="16"/>
      <c r="E750" s="16"/>
      <c r="F750" s="209"/>
      <c r="G750" s="209"/>
      <c r="H750" s="209"/>
      <c r="I750" s="209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 spans="2:24">
      <c r="B751" s="16"/>
      <c r="C751" s="16"/>
      <c r="D751" s="16"/>
      <c r="E751" s="16"/>
      <c r="F751" s="209"/>
      <c r="G751" s="209"/>
      <c r="H751" s="209"/>
      <c r="I751" s="209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 spans="2:24">
      <c r="B752" s="16"/>
      <c r="C752" s="16"/>
      <c r="D752" s="16"/>
      <c r="E752" s="16"/>
      <c r="F752" s="209"/>
      <c r="G752" s="209"/>
      <c r="H752" s="209"/>
      <c r="I752" s="209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 spans="2:24">
      <c r="B753" s="16"/>
      <c r="C753" s="16"/>
      <c r="D753" s="16"/>
      <c r="E753" s="16"/>
      <c r="F753" s="209"/>
      <c r="G753" s="209"/>
      <c r="H753" s="209"/>
      <c r="I753" s="209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 spans="2:24">
      <c r="B754" s="16"/>
      <c r="C754" s="16"/>
      <c r="D754" s="16"/>
      <c r="E754" s="16"/>
      <c r="F754" s="209"/>
      <c r="G754" s="209"/>
      <c r="H754" s="209"/>
      <c r="I754" s="209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 spans="2:24">
      <c r="B755" s="16"/>
      <c r="C755" s="16"/>
      <c r="D755" s="16"/>
      <c r="E755" s="16"/>
      <c r="F755" s="209"/>
      <c r="G755" s="209"/>
      <c r="H755" s="209"/>
      <c r="I755" s="209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 spans="2:24">
      <c r="B756" s="16"/>
      <c r="C756" s="16"/>
      <c r="D756" s="16"/>
      <c r="E756" s="16"/>
      <c r="F756" s="209"/>
      <c r="G756" s="209"/>
      <c r="H756" s="209"/>
      <c r="I756" s="209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 spans="2:24">
      <c r="B757" s="16"/>
      <c r="C757" s="16"/>
      <c r="D757" s="16"/>
      <c r="E757" s="16"/>
      <c r="F757" s="209"/>
      <c r="G757" s="209"/>
      <c r="H757" s="209"/>
      <c r="I757" s="209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 spans="2:24">
      <c r="B758" s="16"/>
      <c r="C758" s="16"/>
      <c r="D758" s="16"/>
      <c r="E758" s="16"/>
      <c r="F758" s="209"/>
      <c r="G758" s="209"/>
      <c r="H758" s="209"/>
      <c r="I758" s="209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 spans="2:24">
      <c r="B759" s="16"/>
      <c r="C759" s="16"/>
      <c r="D759" s="16"/>
      <c r="E759" s="16"/>
      <c r="F759" s="209"/>
      <c r="G759" s="209"/>
      <c r="H759" s="209"/>
      <c r="I759" s="209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 spans="2:24">
      <c r="B760" s="16"/>
      <c r="C760" s="16"/>
      <c r="D760" s="16"/>
      <c r="E760" s="16"/>
      <c r="F760" s="209"/>
      <c r="G760" s="209"/>
      <c r="H760" s="209"/>
      <c r="I760" s="209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 spans="2:24">
      <c r="B761" s="16"/>
      <c r="C761" s="16"/>
      <c r="D761" s="16"/>
      <c r="E761" s="16"/>
      <c r="F761" s="209"/>
      <c r="G761" s="209"/>
      <c r="H761" s="209"/>
      <c r="I761" s="209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 spans="2:24">
      <c r="B762" s="16"/>
      <c r="C762" s="16"/>
      <c r="D762" s="16"/>
      <c r="E762" s="16"/>
      <c r="F762" s="209"/>
      <c r="G762" s="209"/>
      <c r="H762" s="209"/>
      <c r="I762" s="209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 spans="2:24">
      <c r="B763" s="16"/>
      <c r="C763" s="16"/>
      <c r="D763" s="16"/>
      <c r="E763" s="16"/>
      <c r="F763" s="209"/>
      <c r="G763" s="209"/>
      <c r="H763" s="209"/>
      <c r="I763" s="209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 spans="2:24">
      <c r="B764" s="16"/>
      <c r="C764" s="16"/>
      <c r="D764" s="16"/>
      <c r="E764" s="16"/>
      <c r="F764" s="209"/>
      <c r="G764" s="209"/>
      <c r="H764" s="209"/>
      <c r="I764" s="209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 spans="2:24">
      <c r="B765" s="16"/>
      <c r="C765" s="16"/>
      <c r="D765" s="16"/>
      <c r="E765" s="16"/>
      <c r="F765" s="209"/>
      <c r="G765" s="209"/>
      <c r="H765" s="209"/>
      <c r="I765" s="209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 spans="2:24">
      <c r="B766" s="16"/>
      <c r="C766" s="16"/>
      <c r="D766" s="16"/>
      <c r="E766" s="16"/>
      <c r="F766" s="209"/>
      <c r="G766" s="209"/>
      <c r="H766" s="209"/>
      <c r="I766" s="209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 spans="2:24">
      <c r="B767" s="16"/>
      <c r="C767" s="16"/>
      <c r="D767" s="16"/>
      <c r="E767" s="16"/>
      <c r="F767" s="209"/>
      <c r="G767" s="209"/>
      <c r="H767" s="209"/>
      <c r="I767" s="209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 spans="2:24">
      <c r="B768" s="16"/>
      <c r="C768" s="16"/>
      <c r="D768" s="16"/>
      <c r="E768" s="16"/>
      <c r="F768" s="209"/>
      <c r="G768" s="209"/>
      <c r="H768" s="209"/>
      <c r="I768" s="209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 spans="2:24">
      <c r="B769" s="16"/>
      <c r="C769" s="16"/>
      <c r="D769" s="16"/>
      <c r="E769" s="16"/>
      <c r="F769" s="209"/>
      <c r="G769" s="209"/>
      <c r="H769" s="209"/>
      <c r="I769" s="209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 spans="2:24">
      <c r="B770" s="16"/>
      <c r="C770" s="16"/>
      <c r="D770" s="16"/>
      <c r="E770" s="16"/>
      <c r="F770" s="209"/>
      <c r="G770" s="209"/>
      <c r="H770" s="209"/>
      <c r="I770" s="209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 spans="2:24">
      <c r="B771" s="16"/>
      <c r="C771" s="16"/>
      <c r="D771" s="16"/>
      <c r="E771" s="16"/>
      <c r="F771" s="209"/>
      <c r="G771" s="209"/>
      <c r="H771" s="209"/>
      <c r="I771" s="209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 spans="2:24">
      <c r="B772" s="16"/>
      <c r="C772" s="16"/>
      <c r="D772" s="16"/>
      <c r="E772" s="16"/>
      <c r="F772" s="209"/>
      <c r="G772" s="209"/>
      <c r="H772" s="209"/>
      <c r="I772" s="209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 spans="2:24">
      <c r="B773" s="16"/>
      <c r="C773" s="16"/>
      <c r="D773" s="16"/>
      <c r="E773" s="16"/>
      <c r="F773" s="209"/>
      <c r="G773" s="209"/>
      <c r="H773" s="209"/>
      <c r="I773" s="209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 spans="2:24">
      <c r="B774" s="16"/>
      <c r="C774" s="16"/>
      <c r="D774" s="16"/>
      <c r="E774" s="16"/>
      <c r="F774" s="209"/>
      <c r="G774" s="209"/>
      <c r="H774" s="209"/>
      <c r="I774" s="209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 spans="2:24">
      <c r="B775" s="16"/>
      <c r="C775" s="16"/>
      <c r="D775" s="16"/>
      <c r="E775" s="16"/>
      <c r="F775" s="209"/>
      <c r="G775" s="209"/>
      <c r="H775" s="209"/>
      <c r="I775" s="209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 spans="2:24">
      <c r="B776" s="16"/>
      <c r="C776" s="16"/>
      <c r="D776" s="16"/>
      <c r="E776" s="16"/>
      <c r="F776" s="209"/>
      <c r="G776" s="209"/>
      <c r="H776" s="209"/>
      <c r="I776" s="209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 spans="2:24">
      <c r="B777" s="16"/>
      <c r="C777" s="16"/>
      <c r="D777" s="16"/>
      <c r="E777" s="16"/>
      <c r="F777" s="209"/>
      <c r="G777" s="209"/>
      <c r="H777" s="209"/>
      <c r="I777" s="209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 spans="2:24">
      <c r="B778" s="16"/>
      <c r="C778" s="16"/>
      <c r="D778" s="16"/>
      <c r="E778" s="16"/>
      <c r="F778" s="209"/>
      <c r="G778" s="209"/>
      <c r="H778" s="209"/>
      <c r="I778" s="209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 spans="2:24">
      <c r="B779" s="16"/>
      <c r="C779" s="16"/>
      <c r="D779" s="16"/>
      <c r="E779" s="16"/>
      <c r="F779" s="209"/>
      <c r="G779" s="209"/>
      <c r="H779" s="209"/>
      <c r="I779" s="209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 spans="2:24">
      <c r="B780" s="16"/>
      <c r="C780" s="16"/>
      <c r="D780" s="16"/>
      <c r="E780" s="16"/>
      <c r="F780" s="209"/>
      <c r="G780" s="209"/>
      <c r="H780" s="209"/>
      <c r="I780" s="209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 spans="2:24">
      <c r="B781" s="16"/>
      <c r="C781" s="16"/>
      <c r="D781" s="16"/>
      <c r="E781" s="16"/>
      <c r="F781" s="209"/>
      <c r="G781" s="209"/>
      <c r="H781" s="209"/>
      <c r="I781" s="209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 spans="2:24">
      <c r="B782" s="16"/>
      <c r="C782" s="16"/>
      <c r="D782" s="16"/>
      <c r="E782" s="16"/>
      <c r="F782" s="209"/>
      <c r="G782" s="209"/>
      <c r="H782" s="209"/>
      <c r="I782" s="209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 spans="2:24">
      <c r="B783" s="16"/>
      <c r="C783" s="16"/>
      <c r="D783" s="16"/>
      <c r="E783" s="16"/>
      <c r="F783" s="209"/>
      <c r="G783" s="209"/>
      <c r="H783" s="209"/>
      <c r="I783" s="209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 spans="2:24">
      <c r="B784" s="16"/>
      <c r="C784" s="16"/>
      <c r="D784" s="16"/>
      <c r="E784" s="16"/>
      <c r="F784" s="209"/>
      <c r="G784" s="209"/>
      <c r="H784" s="209"/>
      <c r="I784" s="209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 spans="2:24">
      <c r="B785" s="16"/>
      <c r="C785" s="16"/>
      <c r="D785" s="16"/>
      <c r="E785" s="16"/>
      <c r="F785" s="209"/>
      <c r="G785" s="209"/>
      <c r="H785" s="209"/>
      <c r="I785" s="209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 spans="2:24">
      <c r="B786" s="16"/>
      <c r="C786" s="16"/>
      <c r="D786" s="16"/>
      <c r="E786" s="16"/>
      <c r="F786" s="209"/>
      <c r="G786" s="209"/>
      <c r="H786" s="209"/>
      <c r="I786" s="209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 spans="2:24">
      <c r="B787" s="16"/>
      <c r="C787" s="16"/>
      <c r="D787" s="16"/>
      <c r="E787" s="16"/>
      <c r="F787" s="209"/>
      <c r="G787" s="209"/>
      <c r="H787" s="209"/>
      <c r="I787" s="209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 spans="2:24">
      <c r="B788" s="16"/>
      <c r="C788" s="16"/>
      <c r="D788" s="16"/>
      <c r="E788" s="16"/>
      <c r="F788" s="209"/>
      <c r="G788" s="209"/>
      <c r="H788" s="209"/>
      <c r="I788" s="209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 spans="2:24">
      <c r="B789" s="16"/>
      <c r="C789" s="16"/>
      <c r="D789" s="16"/>
      <c r="E789" s="16"/>
      <c r="F789" s="209"/>
      <c r="G789" s="209"/>
      <c r="H789" s="209"/>
      <c r="I789" s="209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 spans="2:24">
      <c r="B790" s="16"/>
      <c r="C790" s="16"/>
      <c r="D790" s="16"/>
      <c r="E790" s="16"/>
      <c r="F790" s="209"/>
      <c r="G790" s="209"/>
      <c r="H790" s="209"/>
      <c r="I790" s="209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 spans="2:24">
      <c r="B791" s="16"/>
      <c r="C791" s="16"/>
      <c r="D791" s="16"/>
      <c r="E791" s="16"/>
      <c r="F791" s="209"/>
      <c r="G791" s="209"/>
      <c r="H791" s="209"/>
      <c r="I791" s="209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 spans="2:24">
      <c r="B792" s="16"/>
      <c r="C792" s="16"/>
      <c r="D792" s="16"/>
      <c r="E792" s="16"/>
      <c r="F792" s="209"/>
      <c r="G792" s="209"/>
      <c r="H792" s="209"/>
      <c r="I792" s="209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 spans="2:24">
      <c r="B793" s="16"/>
      <c r="C793" s="16"/>
      <c r="D793" s="16"/>
      <c r="E793" s="16"/>
      <c r="F793" s="209"/>
      <c r="G793" s="209"/>
      <c r="H793" s="209"/>
      <c r="I793" s="209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 spans="2:24">
      <c r="B794" s="16"/>
      <c r="C794" s="16"/>
      <c r="D794" s="16"/>
      <c r="E794" s="16"/>
      <c r="F794" s="209"/>
      <c r="G794" s="209"/>
      <c r="H794" s="209"/>
      <c r="I794" s="209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 spans="2:24">
      <c r="B795" s="16"/>
      <c r="C795" s="16"/>
      <c r="D795" s="16"/>
      <c r="E795" s="16"/>
      <c r="F795" s="209"/>
      <c r="G795" s="209"/>
      <c r="H795" s="209"/>
      <c r="I795" s="209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 spans="2:24">
      <c r="B796" s="16"/>
      <c r="C796" s="16"/>
      <c r="D796" s="16"/>
      <c r="E796" s="16"/>
      <c r="F796" s="209"/>
      <c r="G796" s="209"/>
      <c r="H796" s="209"/>
      <c r="I796" s="209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 spans="2:24">
      <c r="B797" s="16"/>
      <c r="C797" s="16"/>
      <c r="D797" s="16"/>
      <c r="E797" s="16"/>
      <c r="F797" s="209"/>
      <c r="G797" s="209"/>
      <c r="H797" s="209"/>
      <c r="I797" s="209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 spans="2:24">
      <c r="B798" s="16"/>
      <c r="C798" s="16"/>
      <c r="D798" s="16"/>
      <c r="E798" s="16"/>
      <c r="F798" s="209"/>
      <c r="G798" s="209"/>
      <c r="H798" s="209"/>
      <c r="I798" s="209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 spans="2:24">
      <c r="B799" s="16"/>
      <c r="C799" s="16"/>
      <c r="D799" s="16"/>
      <c r="E799" s="16"/>
      <c r="F799" s="209"/>
      <c r="G799" s="209"/>
      <c r="H799" s="209"/>
      <c r="I799" s="209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 spans="2:24">
      <c r="B800" s="16"/>
      <c r="C800" s="16"/>
      <c r="D800" s="16"/>
      <c r="E800" s="16"/>
      <c r="F800" s="209"/>
      <c r="G800" s="209"/>
      <c r="H800" s="209"/>
      <c r="I800" s="209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 spans="2:24">
      <c r="B801" s="16"/>
      <c r="C801" s="16"/>
      <c r="D801" s="16"/>
      <c r="E801" s="16"/>
      <c r="F801" s="209"/>
      <c r="G801" s="209"/>
      <c r="H801" s="209"/>
      <c r="I801" s="209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 spans="2:24">
      <c r="B802" s="16"/>
      <c r="C802" s="16"/>
      <c r="D802" s="16"/>
      <c r="E802" s="16"/>
      <c r="F802" s="209"/>
      <c r="G802" s="209"/>
      <c r="H802" s="209"/>
      <c r="I802" s="209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 spans="2:24">
      <c r="B803" s="16"/>
      <c r="C803" s="16"/>
      <c r="D803" s="16"/>
      <c r="E803" s="16"/>
      <c r="F803" s="209"/>
      <c r="G803" s="209"/>
      <c r="H803" s="209"/>
      <c r="I803" s="209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 spans="2:24">
      <c r="B804" s="16"/>
      <c r="C804" s="16"/>
      <c r="D804" s="16"/>
      <c r="E804" s="16"/>
      <c r="F804" s="209"/>
      <c r="G804" s="209"/>
      <c r="H804" s="209"/>
      <c r="I804" s="209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 spans="2:24">
      <c r="B805" s="16"/>
      <c r="C805" s="16"/>
      <c r="D805" s="16"/>
      <c r="E805" s="16"/>
      <c r="F805" s="209"/>
      <c r="G805" s="209"/>
      <c r="H805" s="209"/>
      <c r="I805" s="209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 spans="2:24">
      <c r="B806" s="16"/>
      <c r="C806" s="16"/>
      <c r="D806" s="16"/>
      <c r="E806" s="16"/>
      <c r="F806" s="209"/>
      <c r="G806" s="209"/>
      <c r="H806" s="209"/>
      <c r="I806" s="209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 spans="2:24">
      <c r="B807" s="16"/>
      <c r="C807" s="16"/>
      <c r="D807" s="16"/>
      <c r="E807" s="16"/>
      <c r="F807" s="209"/>
      <c r="G807" s="209"/>
      <c r="H807" s="209"/>
      <c r="I807" s="209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 spans="2:24">
      <c r="B808" s="16"/>
      <c r="C808" s="16"/>
      <c r="D808" s="16"/>
      <c r="E808" s="16"/>
      <c r="F808" s="209"/>
      <c r="G808" s="209"/>
      <c r="H808" s="209"/>
      <c r="I808" s="209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 spans="2:24">
      <c r="B809" s="16"/>
      <c r="C809" s="16"/>
      <c r="D809" s="16"/>
      <c r="E809" s="16"/>
      <c r="F809" s="209"/>
      <c r="G809" s="209"/>
      <c r="H809" s="209"/>
      <c r="I809" s="209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 spans="2:24">
      <c r="B810" s="16"/>
      <c r="C810" s="16"/>
      <c r="D810" s="16"/>
      <c r="E810" s="16"/>
      <c r="F810" s="209"/>
      <c r="G810" s="209"/>
      <c r="H810" s="209"/>
      <c r="I810" s="209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 spans="2:24">
      <c r="B811" s="16"/>
      <c r="C811" s="16"/>
      <c r="D811" s="16"/>
      <c r="E811" s="16"/>
      <c r="F811" s="209"/>
      <c r="G811" s="209"/>
      <c r="H811" s="209"/>
      <c r="I811" s="209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 spans="2:24">
      <c r="B812" s="16"/>
      <c r="C812" s="16"/>
      <c r="D812" s="16"/>
      <c r="E812" s="16"/>
      <c r="F812" s="209"/>
      <c r="G812" s="209"/>
      <c r="H812" s="209"/>
      <c r="I812" s="209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 spans="2:24">
      <c r="B813" s="16"/>
      <c r="C813" s="16"/>
      <c r="D813" s="16"/>
      <c r="E813" s="16"/>
      <c r="F813" s="209"/>
      <c r="G813" s="209"/>
      <c r="H813" s="209"/>
      <c r="I813" s="209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 spans="2:24">
      <c r="B814" s="16"/>
      <c r="C814" s="16"/>
      <c r="D814" s="16"/>
      <c r="E814" s="16"/>
      <c r="F814" s="209"/>
      <c r="G814" s="209"/>
      <c r="H814" s="209"/>
      <c r="I814" s="209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 spans="2:24">
      <c r="B815" s="16"/>
      <c r="C815" s="16"/>
      <c r="D815" s="16"/>
      <c r="E815" s="16"/>
      <c r="F815" s="209"/>
      <c r="G815" s="209"/>
      <c r="H815" s="209"/>
      <c r="I815" s="209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 spans="2:24">
      <c r="B816" s="16"/>
      <c r="C816" s="16"/>
      <c r="D816" s="16"/>
      <c r="E816" s="16"/>
      <c r="F816" s="209"/>
      <c r="G816" s="209"/>
      <c r="H816" s="209"/>
      <c r="I816" s="209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 spans="2:24">
      <c r="B817" s="16"/>
      <c r="C817" s="16"/>
      <c r="D817" s="16"/>
      <c r="E817" s="16"/>
      <c r="F817" s="209"/>
      <c r="G817" s="209"/>
      <c r="H817" s="209"/>
      <c r="I817" s="209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 spans="2:24">
      <c r="B818" s="16"/>
      <c r="C818" s="16"/>
      <c r="D818" s="16"/>
      <c r="E818" s="16"/>
      <c r="F818" s="209"/>
      <c r="G818" s="209"/>
      <c r="H818" s="209"/>
      <c r="I818" s="209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 spans="2:24">
      <c r="B819" s="16"/>
      <c r="C819" s="16"/>
      <c r="D819" s="16"/>
      <c r="E819" s="16"/>
      <c r="F819" s="209"/>
      <c r="G819" s="209"/>
      <c r="H819" s="209"/>
      <c r="I819" s="209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 spans="2:24">
      <c r="B820" s="16"/>
      <c r="C820" s="16"/>
      <c r="D820" s="16"/>
      <c r="E820" s="16"/>
      <c r="F820" s="209"/>
      <c r="G820" s="209"/>
      <c r="H820" s="209"/>
      <c r="I820" s="209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 spans="2:24">
      <c r="B821" s="16"/>
      <c r="C821" s="16"/>
      <c r="D821" s="16"/>
      <c r="E821" s="16"/>
      <c r="F821" s="209"/>
      <c r="G821" s="209"/>
      <c r="H821" s="209"/>
      <c r="I821" s="209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 spans="2:24">
      <c r="B822" s="16"/>
      <c r="C822" s="16"/>
      <c r="D822" s="16"/>
      <c r="E822" s="16"/>
      <c r="F822" s="209"/>
      <c r="G822" s="209"/>
      <c r="H822" s="209"/>
      <c r="I822" s="209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 spans="2:24">
      <c r="B823" s="16"/>
      <c r="C823" s="16"/>
      <c r="D823" s="16"/>
      <c r="E823" s="16"/>
      <c r="F823" s="209"/>
      <c r="G823" s="209"/>
      <c r="H823" s="209"/>
      <c r="I823" s="209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 spans="2:24">
      <c r="B824" s="16"/>
      <c r="C824" s="16"/>
      <c r="D824" s="16"/>
      <c r="E824" s="16"/>
      <c r="F824" s="209"/>
      <c r="G824" s="209"/>
      <c r="H824" s="209"/>
      <c r="I824" s="209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 spans="2:24">
      <c r="B825" s="16"/>
      <c r="C825" s="16"/>
      <c r="D825" s="16"/>
      <c r="E825" s="16"/>
      <c r="F825" s="209"/>
      <c r="G825" s="209"/>
      <c r="H825" s="209"/>
      <c r="I825" s="209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 spans="2:24">
      <c r="B826" s="16"/>
      <c r="C826" s="16"/>
      <c r="D826" s="16"/>
      <c r="E826" s="16"/>
      <c r="F826" s="209"/>
      <c r="G826" s="209"/>
      <c r="H826" s="209"/>
      <c r="I826" s="209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 spans="2:24">
      <c r="B827" s="16"/>
      <c r="C827" s="16"/>
      <c r="D827" s="16"/>
      <c r="E827" s="16"/>
      <c r="F827" s="209"/>
      <c r="G827" s="209"/>
      <c r="H827" s="209"/>
      <c r="I827" s="209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 spans="2:24">
      <c r="B828" s="16"/>
      <c r="C828" s="16"/>
      <c r="D828" s="16"/>
      <c r="E828" s="16"/>
      <c r="F828" s="209"/>
      <c r="G828" s="209"/>
      <c r="H828" s="209"/>
      <c r="I828" s="209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 spans="2:24">
      <c r="B829" s="16"/>
      <c r="C829" s="16"/>
      <c r="D829" s="16"/>
      <c r="E829" s="16"/>
      <c r="F829" s="209"/>
      <c r="G829" s="209"/>
      <c r="H829" s="209"/>
      <c r="I829" s="209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 spans="2:24">
      <c r="B830" s="16"/>
      <c r="C830" s="16"/>
      <c r="D830" s="16"/>
      <c r="E830" s="16"/>
      <c r="F830" s="209"/>
      <c r="G830" s="209"/>
      <c r="H830" s="209"/>
      <c r="I830" s="209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 spans="2:24">
      <c r="B831" s="16"/>
      <c r="C831" s="16"/>
      <c r="D831" s="16"/>
      <c r="E831" s="16"/>
      <c r="F831" s="209"/>
      <c r="G831" s="209"/>
      <c r="H831" s="209"/>
      <c r="I831" s="209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 spans="2:24">
      <c r="B832" s="16"/>
      <c r="C832" s="16"/>
      <c r="D832" s="16"/>
      <c r="E832" s="16"/>
      <c r="F832" s="209"/>
      <c r="G832" s="209"/>
      <c r="H832" s="209"/>
      <c r="I832" s="209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 spans="2:24">
      <c r="B833" s="16"/>
      <c r="C833" s="16"/>
      <c r="D833" s="16"/>
      <c r="E833" s="16"/>
      <c r="F833" s="209"/>
      <c r="G833" s="209"/>
      <c r="H833" s="209"/>
      <c r="I833" s="209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 spans="2:24">
      <c r="B834" s="16"/>
      <c r="C834" s="16"/>
      <c r="D834" s="16"/>
      <c r="E834" s="16"/>
      <c r="F834" s="209"/>
      <c r="G834" s="209"/>
      <c r="H834" s="209"/>
      <c r="I834" s="209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 spans="2:24">
      <c r="B835" s="16"/>
      <c r="C835" s="16"/>
      <c r="D835" s="16"/>
      <c r="E835" s="16"/>
      <c r="F835" s="209"/>
      <c r="G835" s="209"/>
      <c r="H835" s="209"/>
      <c r="I835" s="209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 spans="2:24">
      <c r="B836" s="16"/>
      <c r="C836" s="16"/>
      <c r="D836" s="16"/>
      <c r="E836" s="16"/>
      <c r="F836" s="209"/>
      <c r="G836" s="209"/>
      <c r="H836" s="209"/>
      <c r="I836" s="209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 spans="2:24">
      <c r="B837" s="16"/>
      <c r="C837" s="16"/>
      <c r="D837" s="16"/>
      <c r="E837" s="16"/>
      <c r="F837" s="209"/>
      <c r="G837" s="209"/>
      <c r="H837" s="209"/>
      <c r="I837" s="209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 spans="2:24">
      <c r="B838" s="16"/>
      <c r="C838" s="16"/>
      <c r="D838" s="16"/>
      <c r="E838" s="16"/>
      <c r="F838" s="209"/>
      <c r="G838" s="209"/>
      <c r="H838" s="209"/>
      <c r="I838" s="209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 spans="2:24">
      <c r="B839" s="16"/>
      <c r="C839" s="16"/>
      <c r="D839" s="16"/>
      <c r="E839" s="16"/>
      <c r="F839" s="209"/>
      <c r="G839" s="209"/>
      <c r="H839" s="209"/>
      <c r="I839" s="209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 spans="2:24">
      <c r="B840" s="16"/>
      <c r="C840" s="16"/>
      <c r="D840" s="16"/>
      <c r="E840" s="16"/>
      <c r="F840" s="209"/>
      <c r="G840" s="209"/>
      <c r="H840" s="209"/>
      <c r="I840" s="209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 spans="2:24">
      <c r="B841" s="16"/>
      <c r="C841" s="16"/>
      <c r="D841" s="16"/>
      <c r="E841" s="16"/>
      <c r="F841" s="209"/>
      <c r="G841" s="209"/>
      <c r="H841" s="209"/>
      <c r="I841" s="209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 spans="2:24">
      <c r="B842" s="16"/>
      <c r="C842" s="16"/>
      <c r="D842" s="16"/>
      <c r="E842" s="16"/>
      <c r="F842" s="209"/>
      <c r="G842" s="209"/>
      <c r="H842" s="209"/>
      <c r="I842" s="209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 spans="2:24">
      <c r="B843" s="16"/>
      <c r="C843" s="16"/>
      <c r="D843" s="16"/>
      <c r="E843" s="16"/>
      <c r="F843" s="209"/>
      <c r="G843" s="209"/>
      <c r="H843" s="209"/>
      <c r="I843" s="209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 spans="2:24">
      <c r="B844" s="16"/>
      <c r="C844" s="16"/>
      <c r="D844" s="16"/>
      <c r="E844" s="16"/>
      <c r="F844" s="209"/>
      <c r="G844" s="209"/>
      <c r="H844" s="209"/>
      <c r="I844" s="209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 spans="2:24">
      <c r="B845" s="16"/>
      <c r="C845" s="16"/>
      <c r="D845" s="16"/>
      <c r="E845" s="16"/>
      <c r="F845" s="209"/>
      <c r="G845" s="209"/>
      <c r="H845" s="209"/>
      <c r="I845" s="209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 spans="2:24">
      <c r="B846" s="16"/>
      <c r="C846" s="16"/>
      <c r="D846" s="16"/>
      <c r="E846" s="16"/>
      <c r="F846" s="209"/>
      <c r="G846" s="209"/>
      <c r="H846" s="209"/>
      <c r="I846" s="209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 spans="2:24">
      <c r="B847" s="16"/>
      <c r="C847" s="16"/>
      <c r="D847" s="16"/>
      <c r="E847" s="16"/>
      <c r="F847" s="209"/>
      <c r="G847" s="209"/>
      <c r="H847" s="209"/>
      <c r="I847" s="209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 spans="2:24">
      <c r="B848" s="16"/>
      <c r="C848" s="16"/>
      <c r="D848" s="16"/>
      <c r="E848" s="16"/>
      <c r="F848" s="209"/>
      <c r="G848" s="209"/>
      <c r="H848" s="209"/>
      <c r="I848" s="209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 spans="2:24">
      <c r="B849" s="16"/>
      <c r="C849" s="16"/>
      <c r="D849" s="16"/>
      <c r="E849" s="16"/>
      <c r="F849" s="209"/>
      <c r="G849" s="209"/>
      <c r="H849" s="209"/>
      <c r="I849" s="209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 spans="2:24">
      <c r="B850" s="16"/>
      <c r="C850" s="16"/>
      <c r="D850" s="16"/>
      <c r="E850" s="16"/>
      <c r="F850" s="209"/>
      <c r="G850" s="209"/>
      <c r="H850" s="209"/>
      <c r="I850" s="209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 spans="2:24">
      <c r="B851" s="16"/>
      <c r="C851" s="16"/>
      <c r="D851" s="16"/>
      <c r="E851" s="16"/>
      <c r="F851" s="209"/>
      <c r="G851" s="209"/>
      <c r="H851" s="209"/>
      <c r="I851" s="209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 spans="2:24">
      <c r="B852" s="16"/>
      <c r="C852" s="16"/>
      <c r="D852" s="16"/>
      <c r="E852" s="16"/>
      <c r="F852" s="209"/>
      <c r="G852" s="209"/>
      <c r="H852" s="209"/>
      <c r="I852" s="209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 spans="2:24">
      <c r="B853" s="16"/>
      <c r="C853" s="16"/>
      <c r="D853" s="16"/>
      <c r="E853" s="16"/>
      <c r="F853" s="209"/>
      <c r="G853" s="209"/>
      <c r="H853" s="209"/>
      <c r="I853" s="209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 spans="2:24">
      <c r="B854" s="16"/>
      <c r="C854" s="16"/>
      <c r="D854" s="16"/>
      <c r="E854" s="16"/>
      <c r="F854" s="209"/>
      <c r="G854" s="209"/>
      <c r="H854" s="209"/>
      <c r="I854" s="209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 spans="2:24">
      <c r="B855" s="16"/>
      <c r="C855" s="16"/>
      <c r="D855" s="16"/>
      <c r="E855" s="16"/>
      <c r="F855" s="209"/>
      <c r="G855" s="209"/>
      <c r="H855" s="209"/>
      <c r="I855" s="209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 spans="2:24">
      <c r="B856" s="16"/>
      <c r="C856" s="16"/>
      <c r="D856" s="16"/>
      <c r="E856" s="16"/>
      <c r="F856" s="209"/>
      <c r="G856" s="209"/>
      <c r="H856" s="209"/>
      <c r="I856" s="209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 spans="2:24">
      <c r="B857" s="16"/>
      <c r="C857" s="16"/>
      <c r="D857" s="16"/>
      <c r="E857" s="16"/>
      <c r="F857" s="209"/>
      <c r="G857" s="209"/>
      <c r="H857" s="209"/>
      <c r="I857" s="209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 spans="2:24">
      <c r="B858" s="16"/>
      <c r="C858" s="16"/>
      <c r="D858" s="16"/>
      <c r="E858" s="16"/>
      <c r="F858" s="209"/>
      <c r="G858" s="209"/>
      <c r="H858" s="209"/>
      <c r="I858" s="209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 spans="2:24">
      <c r="B859" s="16"/>
      <c r="C859" s="16"/>
      <c r="D859" s="16"/>
      <c r="E859" s="16"/>
      <c r="F859" s="209"/>
      <c r="G859" s="209"/>
      <c r="H859" s="209"/>
      <c r="I859" s="209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 spans="2:24">
      <c r="B860" s="16"/>
      <c r="C860" s="16"/>
      <c r="D860" s="16"/>
      <c r="E860" s="16"/>
      <c r="F860" s="209"/>
      <c r="G860" s="209"/>
      <c r="H860" s="209"/>
      <c r="I860" s="209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 spans="2:24">
      <c r="B861" s="16"/>
      <c r="C861" s="16"/>
      <c r="D861" s="16"/>
      <c r="E861" s="16"/>
      <c r="F861" s="209"/>
      <c r="G861" s="209"/>
      <c r="H861" s="209"/>
      <c r="I861" s="209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 spans="2:24">
      <c r="B862" s="16"/>
      <c r="C862" s="16"/>
      <c r="D862" s="16"/>
      <c r="E862" s="16"/>
      <c r="F862" s="209"/>
      <c r="G862" s="209"/>
      <c r="H862" s="209"/>
      <c r="I862" s="209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 spans="2:24">
      <c r="B863" s="16"/>
      <c r="C863" s="16"/>
      <c r="D863" s="16"/>
      <c r="E863" s="16"/>
      <c r="F863" s="209"/>
      <c r="G863" s="209"/>
      <c r="H863" s="209"/>
      <c r="I863" s="209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 spans="2:24">
      <c r="B864" s="16"/>
      <c r="C864" s="16"/>
      <c r="D864" s="16"/>
      <c r="E864" s="16"/>
      <c r="F864" s="209"/>
      <c r="G864" s="209"/>
      <c r="H864" s="209"/>
      <c r="I864" s="209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 spans="2:24">
      <c r="B865" s="16"/>
      <c r="C865" s="16"/>
      <c r="D865" s="16"/>
      <c r="E865" s="16"/>
      <c r="F865" s="209"/>
      <c r="G865" s="209"/>
      <c r="H865" s="209"/>
      <c r="I865" s="209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 spans="2:24">
      <c r="B866" s="16"/>
      <c r="C866" s="16"/>
      <c r="D866" s="16"/>
      <c r="E866" s="16"/>
      <c r="F866" s="209"/>
      <c r="G866" s="209"/>
      <c r="H866" s="209"/>
      <c r="I866" s="209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 spans="2:24">
      <c r="B867" s="16"/>
      <c r="C867" s="16"/>
      <c r="D867" s="16"/>
      <c r="E867" s="16"/>
      <c r="F867" s="209"/>
      <c r="G867" s="209"/>
      <c r="H867" s="209"/>
      <c r="I867" s="209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 spans="2:24">
      <c r="B868" s="16"/>
      <c r="C868" s="16"/>
      <c r="D868" s="16"/>
      <c r="E868" s="16"/>
      <c r="F868" s="209"/>
      <c r="G868" s="209"/>
      <c r="H868" s="209"/>
      <c r="I868" s="209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 spans="2:24">
      <c r="B869" s="16"/>
      <c r="C869" s="16"/>
      <c r="D869" s="16"/>
      <c r="E869" s="16"/>
      <c r="F869" s="209"/>
      <c r="G869" s="209"/>
      <c r="H869" s="209"/>
      <c r="I869" s="209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 spans="2:24">
      <c r="B870" s="16"/>
      <c r="C870" s="16"/>
      <c r="D870" s="16"/>
      <c r="E870" s="16"/>
      <c r="F870" s="209"/>
      <c r="G870" s="209"/>
      <c r="H870" s="209"/>
      <c r="I870" s="209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 spans="2:24">
      <c r="B871" s="16"/>
      <c r="C871" s="16"/>
      <c r="D871" s="16"/>
      <c r="E871" s="16"/>
      <c r="F871" s="209"/>
      <c r="G871" s="209"/>
      <c r="H871" s="209"/>
      <c r="I871" s="209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 spans="2:24">
      <c r="B872" s="16"/>
      <c r="C872" s="16"/>
      <c r="D872" s="16"/>
      <c r="E872" s="16"/>
      <c r="F872" s="209"/>
      <c r="G872" s="209"/>
      <c r="H872" s="209"/>
      <c r="I872" s="209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 spans="2:24">
      <c r="B873" s="16"/>
      <c r="C873" s="16"/>
      <c r="D873" s="16"/>
      <c r="E873" s="16"/>
      <c r="F873" s="209"/>
      <c r="G873" s="209"/>
      <c r="H873" s="209"/>
      <c r="I873" s="209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 spans="2:24">
      <c r="B874" s="16"/>
      <c r="C874" s="16"/>
      <c r="D874" s="16"/>
      <c r="E874" s="16"/>
      <c r="F874" s="209"/>
      <c r="G874" s="209"/>
      <c r="H874" s="209"/>
      <c r="I874" s="209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 spans="2:24">
      <c r="B875" s="16"/>
      <c r="C875" s="16"/>
      <c r="D875" s="16"/>
      <c r="E875" s="16"/>
      <c r="F875" s="209"/>
      <c r="G875" s="209"/>
      <c r="H875" s="209"/>
      <c r="I875" s="209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 spans="2:24">
      <c r="B876" s="16"/>
      <c r="C876" s="16"/>
      <c r="D876" s="16"/>
      <c r="E876" s="16"/>
      <c r="F876" s="209"/>
      <c r="G876" s="209"/>
      <c r="H876" s="209"/>
      <c r="I876" s="209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 spans="2:24">
      <c r="B877" s="16"/>
      <c r="C877" s="16"/>
      <c r="D877" s="16"/>
      <c r="E877" s="16"/>
      <c r="F877" s="209"/>
      <c r="G877" s="209"/>
      <c r="H877" s="209"/>
      <c r="I877" s="209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 spans="2:24">
      <c r="B878" s="16"/>
      <c r="C878" s="16"/>
      <c r="D878" s="16"/>
      <c r="E878" s="16"/>
      <c r="F878" s="209"/>
      <c r="G878" s="209"/>
      <c r="H878" s="209"/>
      <c r="I878" s="209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 spans="2:24">
      <c r="B879" s="16"/>
      <c r="C879" s="16"/>
      <c r="D879" s="16"/>
      <c r="E879" s="16"/>
      <c r="F879" s="209"/>
      <c r="G879" s="209"/>
      <c r="H879" s="209"/>
      <c r="I879" s="209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 spans="2:24">
      <c r="B880" s="16"/>
      <c r="C880" s="16"/>
      <c r="D880" s="16"/>
      <c r="E880" s="16"/>
      <c r="F880" s="209"/>
      <c r="G880" s="209"/>
      <c r="H880" s="209"/>
      <c r="I880" s="209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 spans="2:24">
      <c r="B881" s="16"/>
      <c r="C881" s="16"/>
      <c r="D881" s="16"/>
      <c r="E881" s="16"/>
      <c r="F881" s="209"/>
      <c r="G881" s="209"/>
      <c r="H881" s="209"/>
      <c r="I881" s="209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 spans="2:24">
      <c r="B882" s="16"/>
      <c r="C882" s="16"/>
      <c r="D882" s="16"/>
      <c r="E882" s="16"/>
      <c r="F882" s="209"/>
      <c r="G882" s="209"/>
      <c r="H882" s="209"/>
      <c r="I882" s="209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 spans="2:24">
      <c r="B883" s="16"/>
      <c r="C883" s="16"/>
      <c r="D883" s="16"/>
      <c r="E883" s="16"/>
      <c r="F883" s="209"/>
      <c r="G883" s="209"/>
      <c r="H883" s="209"/>
      <c r="I883" s="209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 spans="2:24">
      <c r="B884" s="16"/>
      <c r="C884" s="16"/>
      <c r="D884" s="16"/>
      <c r="E884" s="16"/>
      <c r="F884" s="209"/>
      <c r="G884" s="209"/>
      <c r="H884" s="209"/>
      <c r="I884" s="209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 spans="2:24">
      <c r="B885" s="16"/>
      <c r="C885" s="16"/>
      <c r="D885" s="16"/>
      <c r="E885" s="16"/>
      <c r="F885" s="209"/>
      <c r="G885" s="209"/>
      <c r="H885" s="209"/>
      <c r="I885" s="209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 spans="2:24">
      <c r="B886" s="16"/>
      <c r="C886" s="16"/>
      <c r="D886" s="16"/>
      <c r="E886" s="16"/>
      <c r="F886" s="209"/>
      <c r="G886" s="209"/>
      <c r="H886" s="209"/>
      <c r="I886" s="209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 spans="2:24">
      <c r="B887" s="16"/>
      <c r="C887" s="16"/>
      <c r="D887" s="16"/>
      <c r="E887" s="16"/>
      <c r="F887" s="209"/>
      <c r="G887" s="209"/>
      <c r="H887" s="209"/>
      <c r="I887" s="209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 spans="2:24">
      <c r="B888" s="16"/>
      <c r="C888" s="16"/>
      <c r="D888" s="16"/>
      <c r="E888" s="16"/>
      <c r="F888" s="209"/>
      <c r="G888" s="209"/>
      <c r="H888" s="209"/>
      <c r="I888" s="209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 spans="2:24">
      <c r="B889" s="16"/>
      <c r="C889" s="16"/>
      <c r="D889" s="16"/>
      <c r="E889" s="16"/>
      <c r="F889" s="209"/>
      <c r="G889" s="209"/>
      <c r="H889" s="209"/>
      <c r="I889" s="209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 spans="2:24">
      <c r="B890" s="16"/>
      <c r="C890" s="16"/>
      <c r="D890" s="16"/>
      <c r="E890" s="16"/>
      <c r="F890" s="209"/>
      <c r="G890" s="209"/>
      <c r="H890" s="209"/>
      <c r="I890" s="209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 spans="2:24">
      <c r="B891" s="16"/>
      <c r="C891" s="16"/>
      <c r="D891" s="16"/>
      <c r="E891" s="16"/>
      <c r="F891" s="209"/>
      <c r="G891" s="209"/>
      <c r="H891" s="209"/>
      <c r="I891" s="209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 spans="2:24">
      <c r="B892" s="16"/>
      <c r="C892" s="16"/>
      <c r="D892" s="16"/>
      <c r="E892" s="16"/>
      <c r="F892" s="209"/>
      <c r="G892" s="209"/>
      <c r="H892" s="209"/>
      <c r="I892" s="209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 spans="2:24">
      <c r="B893" s="16"/>
      <c r="C893" s="16"/>
      <c r="D893" s="16"/>
      <c r="E893" s="16"/>
      <c r="F893" s="209"/>
      <c r="G893" s="209"/>
      <c r="H893" s="209"/>
      <c r="I893" s="209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 spans="2:24">
      <c r="B894" s="16"/>
      <c r="C894" s="16"/>
      <c r="D894" s="16"/>
      <c r="E894" s="16"/>
      <c r="F894" s="209"/>
      <c r="G894" s="209"/>
      <c r="H894" s="209"/>
      <c r="I894" s="209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 spans="2:24">
      <c r="B895" s="16"/>
      <c r="C895" s="16"/>
      <c r="D895" s="16"/>
      <c r="E895" s="16"/>
      <c r="F895" s="209"/>
      <c r="G895" s="209"/>
      <c r="H895" s="209"/>
      <c r="I895" s="209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 spans="2:24">
      <c r="B896" s="16"/>
      <c r="C896" s="16"/>
      <c r="D896" s="16"/>
      <c r="E896" s="16"/>
      <c r="F896" s="209"/>
      <c r="G896" s="209"/>
      <c r="H896" s="209"/>
      <c r="I896" s="209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 spans="2:24">
      <c r="B897" s="16"/>
      <c r="C897" s="16"/>
      <c r="D897" s="16"/>
      <c r="E897" s="16"/>
      <c r="F897" s="209"/>
      <c r="G897" s="209"/>
      <c r="H897" s="209"/>
      <c r="I897" s="209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 spans="2:24">
      <c r="B898" s="16"/>
      <c r="C898" s="16"/>
      <c r="D898" s="16"/>
      <c r="E898" s="16"/>
      <c r="F898" s="209"/>
      <c r="G898" s="209"/>
      <c r="H898" s="209"/>
      <c r="I898" s="209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 spans="2:24">
      <c r="B899" s="16"/>
      <c r="C899" s="16"/>
      <c r="D899" s="16"/>
      <c r="E899" s="16"/>
      <c r="F899" s="209"/>
      <c r="G899" s="209"/>
      <c r="H899" s="209"/>
      <c r="I899" s="209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 spans="2:24">
      <c r="B900" s="16"/>
      <c r="C900" s="16"/>
      <c r="D900" s="16"/>
      <c r="E900" s="16"/>
      <c r="F900" s="209"/>
      <c r="G900" s="209"/>
      <c r="H900" s="209"/>
      <c r="I900" s="209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 spans="2:24">
      <c r="B901" s="16"/>
      <c r="C901" s="16"/>
      <c r="D901" s="16"/>
      <c r="E901" s="16"/>
      <c r="F901" s="209"/>
      <c r="G901" s="209"/>
      <c r="H901" s="209"/>
      <c r="I901" s="209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 spans="2:24">
      <c r="B902" s="16"/>
      <c r="C902" s="16"/>
      <c r="D902" s="16"/>
      <c r="E902" s="16"/>
      <c r="F902" s="209"/>
      <c r="G902" s="209"/>
      <c r="H902" s="209"/>
      <c r="I902" s="209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 spans="2:24">
      <c r="B903" s="16"/>
      <c r="C903" s="16"/>
      <c r="D903" s="16"/>
      <c r="E903" s="16"/>
      <c r="F903" s="209"/>
      <c r="G903" s="209"/>
      <c r="H903" s="209"/>
      <c r="I903" s="209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 spans="2:24">
      <c r="B904" s="16"/>
      <c r="C904" s="16"/>
      <c r="D904" s="16"/>
      <c r="E904" s="16"/>
      <c r="F904" s="209"/>
      <c r="G904" s="209"/>
      <c r="H904" s="209"/>
      <c r="I904" s="209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 spans="2:24">
      <c r="B905" s="16"/>
      <c r="C905" s="16"/>
      <c r="D905" s="16"/>
      <c r="E905" s="16"/>
      <c r="F905" s="209"/>
      <c r="G905" s="209"/>
      <c r="H905" s="209"/>
      <c r="I905" s="209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 spans="2:24">
      <c r="B906" s="16"/>
      <c r="C906" s="16"/>
      <c r="D906" s="16"/>
      <c r="E906" s="16"/>
      <c r="F906" s="209"/>
      <c r="G906" s="209"/>
      <c r="H906" s="209"/>
      <c r="I906" s="209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 spans="2:24">
      <c r="B907" s="16"/>
      <c r="C907" s="16"/>
      <c r="D907" s="16"/>
      <c r="E907" s="16"/>
      <c r="F907" s="209"/>
      <c r="G907" s="209"/>
      <c r="H907" s="209"/>
      <c r="I907" s="209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 spans="2:24">
      <c r="B908" s="16"/>
      <c r="C908" s="16"/>
      <c r="D908" s="16"/>
      <c r="E908" s="16"/>
      <c r="F908" s="209"/>
      <c r="G908" s="209"/>
      <c r="H908" s="209"/>
      <c r="I908" s="209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 spans="2:24">
      <c r="B909" s="16"/>
      <c r="C909" s="16"/>
      <c r="D909" s="16"/>
      <c r="E909" s="16"/>
      <c r="F909" s="209"/>
      <c r="G909" s="209"/>
      <c r="H909" s="209"/>
      <c r="I909" s="209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 spans="2:24">
      <c r="B910" s="16"/>
      <c r="C910" s="16"/>
      <c r="D910" s="16"/>
      <c r="E910" s="16"/>
      <c r="F910" s="209"/>
      <c r="G910" s="209"/>
      <c r="H910" s="209"/>
      <c r="I910" s="209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 spans="2:24">
      <c r="B911" s="16"/>
      <c r="C911" s="16"/>
      <c r="D911" s="16"/>
      <c r="E911" s="16"/>
      <c r="F911" s="209"/>
      <c r="G911" s="209"/>
      <c r="H911" s="209"/>
      <c r="I911" s="209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 spans="2:24">
      <c r="B912" s="16"/>
      <c r="C912" s="16"/>
      <c r="D912" s="16"/>
      <c r="E912" s="16"/>
      <c r="F912" s="209"/>
      <c r="G912" s="209"/>
      <c r="H912" s="209"/>
      <c r="I912" s="209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 spans="2:24">
      <c r="B913" s="16"/>
      <c r="C913" s="16"/>
      <c r="D913" s="16"/>
      <c r="E913" s="16"/>
      <c r="F913" s="209"/>
      <c r="G913" s="209"/>
      <c r="H913" s="209"/>
      <c r="I913" s="209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 spans="2:24">
      <c r="B914" s="16"/>
      <c r="C914" s="16"/>
      <c r="D914" s="16"/>
      <c r="E914" s="16"/>
      <c r="F914" s="209"/>
      <c r="G914" s="209"/>
      <c r="H914" s="209"/>
      <c r="I914" s="209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 spans="2:24">
      <c r="B915" s="16"/>
      <c r="C915" s="16"/>
      <c r="D915" s="16"/>
      <c r="E915" s="16"/>
      <c r="F915" s="209"/>
      <c r="G915" s="209"/>
      <c r="H915" s="209"/>
      <c r="I915" s="209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 spans="2:24">
      <c r="B916" s="16"/>
      <c r="C916" s="16"/>
      <c r="D916" s="16"/>
      <c r="E916" s="16"/>
      <c r="F916" s="209"/>
      <c r="G916" s="209"/>
      <c r="H916" s="209"/>
      <c r="I916" s="209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 spans="2:24">
      <c r="B917" s="16"/>
      <c r="C917" s="16"/>
      <c r="D917" s="16"/>
      <c r="E917" s="16"/>
      <c r="F917" s="209"/>
      <c r="G917" s="209"/>
      <c r="H917" s="209"/>
      <c r="I917" s="209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 spans="2:24">
      <c r="B918" s="16"/>
      <c r="C918" s="16"/>
      <c r="D918" s="16"/>
      <c r="E918" s="16"/>
      <c r="F918" s="209"/>
      <c r="G918" s="209"/>
      <c r="H918" s="209"/>
      <c r="I918" s="209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 spans="2:24">
      <c r="B919" s="16"/>
      <c r="C919" s="16"/>
      <c r="D919" s="16"/>
      <c r="E919" s="16"/>
      <c r="F919" s="209"/>
      <c r="G919" s="209"/>
      <c r="H919" s="209"/>
      <c r="I919" s="209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 spans="2:24">
      <c r="B920" s="16"/>
      <c r="C920" s="16"/>
      <c r="D920" s="16"/>
      <c r="E920" s="16"/>
      <c r="F920" s="209"/>
      <c r="G920" s="209"/>
      <c r="H920" s="209"/>
      <c r="I920" s="209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 spans="2:24">
      <c r="B921" s="16"/>
      <c r="C921" s="16"/>
      <c r="D921" s="16"/>
      <c r="E921" s="16"/>
      <c r="F921" s="209"/>
      <c r="G921" s="209"/>
      <c r="H921" s="209"/>
      <c r="I921" s="209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 spans="2:24">
      <c r="B922" s="16"/>
      <c r="C922" s="16"/>
      <c r="D922" s="16"/>
      <c r="E922" s="16"/>
      <c r="F922" s="209"/>
      <c r="G922" s="209"/>
      <c r="H922" s="209"/>
      <c r="I922" s="209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 spans="2:24">
      <c r="B923" s="16"/>
      <c r="C923" s="16"/>
      <c r="D923" s="16"/>
      <c r="E923" s="16"/>
      <c r="F923" s="209"/>
      <c r="G923" s="209"/>
      <c r="H923" s="209"/>
      <c r="I923" s="209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 spans="2:24">
      <c r="B924" s="16"/>
      <c r="C924" s="16"/>
      <c r="D924" s="16"/>
      <c r="E924" s="16"/>
      <c r="F924" s="209"/>
      <c r="G924" s="209"/>
      <c r="H924" s="209"/>
      <c r="I924" s="209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 spans="2:24">
      <c r="B925" s="16"/>
      <c r="C925" s="16"/>
      <c r="D925" s="16"/>
      <c r="E925" s="16"/>
      <c r="F925" s="209"/>
      <c r="G925" s="209"/>
      <c r="H925" s="209"/>
      <c r="I925" s="209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 spans="2:24">
      <c r="B926" s="16"/>
      <c r="C926" s="16"/>
      <c r="D926" s="16"/>
      <c r="E926" s="16"/>
      <c r="F926" s="209"/>
      <c r="G926" s="209"/>
      <c r="H926" s="209"/>
      <c r="I926" s="209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 spans="2:24">
      <c r="B927" s="16"/>
      <c r="C927" s="16"/>
      <c r="D927" s="16"/>
      <c r="E927" s="16"/>
      <c r="F927" s="209"/>
      <c r="G927" s="209"/>
      <c r="H927" s="209"/>
      <c r="I927" s="209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 spans="2:24">
      <c r="B928" s="16"/>
      <c r="C928" s="16"/>
      <c r="D928" s="16"/>
      <c r="E928" s="16"/>
      <c r="F928" s="209"/>
      <c r="G928" s="209"/>
      <c r="H928" s="209"/>
      <c r="I928" s="209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 spans="2:24">
      <c r="B929" s="16"/>
      <c r="C929" s="16"/>
      <c r="D929" s="16"/>
      <c r="E929" s="16"/>
      <c r="F929" s="209"/>
      <c r="G929" s="209"/>
      <c r="H929" s="209"/>
      <c r="I929" s="209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 spans="2:24">
      <c r="B930" s="16"/>
      <c r="C930" s="16"/>
      <c r="D930" s="16"/>
      <c r="E930" s="16"/>
      <c r="F930" s="209"/>
      <c r="G930" s="209"/>
      <c r="H930" s="209"/>
      <c r="I930" s="209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 spans="2:24">
      <c r="B931" s="16"/>
      <c r="C931" s="16"/>
      <c r="D931" s="16"/>
      <c r="E931" s="16"/>
      <c r="F931" s="209"/>
      <c r="G931" s="209"/>
      <c r="H931" s="209"/>
      <c r="I931" s="209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 spans="2:24">
      <c r="B932" s="16"/>
      <c r="C932" s="16"/>
      <c r="D932" s="16"/>
      <c r="E932" s="16"/>
      <c r="F932" s="209"/>
      <c r="G932" s="209"/>
      <c r="H932" s="209"/>
      <c r="I932" s="209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 spans="2:24">
      <c r="B933" s="16"/>
      <c r="C933" s="16"/>
      <c r="D933" s="16"/>
      <c r="E933" s="16"/>
      <c r="F933" s="209"/>
      <c r="G933" s="209"/>
      <c r="H933" s="209"/>
      <c r="I933" s="209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 spans="2:24">
      <c r="B934" s="16"/>
      <c r="C934" s="16"/>
      <c r="D934" s="16"/>
      <c r="E934" s="16"/>
      <c r="F934" s="209"/>
      <c r="G934" s="209"/>
      <c r="H934" s="209"/>
      <c r="I934" s="209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 spans="2:24">
      <c r="B935" s="16"/>
      <c r="C935" s="16"/>
      <c r="D935" s="16"/>
      <c r="E935" s="16"/>
      <c r="F935" s="209"/>
      <c r="G935" s="209"/>
      <c r="H935" s="209"/>
      <c r="I935" s="209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 spans="2:24">
      <c r="B936" s="16"/>
      <c r="C936" s="16"/>
      <c r="D936" s="16"/>
      <c r="E936" s="16"/>
      <c r="F936" s="209"/>
      <c r="G936" s="209"/>
      <c r="H936" s="209"/>
      <c r="I936" s="209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 spans="2:24">
      <c r="B937" s="16"/>
      <c r="C937" s="16"/>
      <c r="D937" s="16"/>
      <c r="E937" s="16"/>
      <c r="F937" s="209"/>
      <c r="G937" s="209"/>
      <c r="H937" s="209"/>
      <c r="I937" s="209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 spans="2:24">
      <c r="B938" s="16"/>
      <c r="C938" s="16"/>
      <c r="D938" s="16"/>
      <c r="E938" s="16"/>
      <c r="F938" s="209"/>
      <c r="G938" s="209"/>
      <c r="H938" s="209"/>
      <c r="I938" s="209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 spans="2:24">
      <c r="B939" s="16"/>
      <c r="C939" s="16"/>
      <c r="D939" s="16"/>
      <c r="E939" s="16"/>
      <c r="F939" s="209"/>
      <c r="G939" s="209"/>
      <c r="H939" s="209"/>
      <c r="I939" s="209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 spans="2:24">
      <c r="B940" s="16"/>
      <c r="C940" s="16"/>
      <c r="D940" s="16"/>
      <c r="E940" s="16"/>
      <c r="F940" s="209"/>
      <c r="G940" s="209"/>
      <c r="H940" s="209"/>
      <c r="I940" s="209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 spans="2:24">
      <c r="B941" s="16"/>
      <c r="C941" s="16"/>
      <c r="D941" s="16"/>
      <c r="E941" s="16"/>
      <c r="F941" s="209"/>
      <c r="G941" s="209"/>
      <c r="H941" s="209"/>
      <c r="I941" s="209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 spans="2:24">
      <c r="B942" s="16"/>
      <c r="C942" s="16"/>
      <c r="D942" s="16"/>
      <c r="E942" s="16"/>
      <c r="F942" s="209"/>
      <c r="G942" s="209"/>
      <c r="H942" s="209"/>
      <c r="I942" s="209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 spans="2:24">
      <c r="B943" s="16"/>
      <c r="C943" s="16"/>
      <c r="D943" s="16"/>
      <c r="E943" s="16"/>
      <c r="F943" s="209"/>
      <c r="G943" s="209"/>
      <c r="H943" s="209"/>
      <c r="I943" s="209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 spans="2:24">
      <c r="B944" s="16"/>
      <c r="C944" s="16"/>
      <c r="D944" s="16"/>
      <c r="E944" s="16"/>
      <c r="F944" s="209"/>
      <c r="G944" s="209"/>
      <c r="H944" s="209"/>
      <c r="I944" s="209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 spans="2:24">
      <c r="B945" s="16"/>
      <c r="C945" s="16"/>
      <c r="D945" s="16"/>
      <c r="E945" s="16"/>
      <c r="F945" s="209"/>
      <c r="G945" s="209"/>
      <c r="H945" s="209"/>
      <c r="I945" s="209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 spans="2:24">
      <c r="B946" s="16"/>
      <c r="C946" s="16"/>
      <c r="D946" s="16"/>
      <c r="E946" s="16"/>
      <c r="F946" s="209"/>
      <c r="G946" s="209"/>
      <c r="H946" s="209"/>
      <c r="I946" s="209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 spans="2:24">
      <c r="B947" s="16"/>
      <c r="C947" s="16"/>
      <c r="D947" s="16"/>
      <c r="E947" s="16"/>
      <c r="F947" s="209"/>
      <c r="G947" s="209"/>
      <c r="H947" s="209"/>
      <c r="I947" s="209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 spans="2:24">
      <c r="B948" s="16"/>
      <c r="C948" s="16"/>
      <c r="D948" s="16"/>
      <c r="E948" s="16"/>
      <c r="F948" s="209"/>
      <c r="G948" s="209"/>
      <c r="H948" s="209"/>
      <c r="I948" s="209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 spans="2:24">
      <c r="B949" s="16"/>
      <c r="C949" s="16"/>
      <c r="D949" s="16"/>
      <c r="E949" s="16"/>
      <c r="F949" s="209"/>
      <c r="G949" s="209"/>
      <c r="H949" s="209"/>
      <c r="I949" s="209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 spans="2:24">
      <c r="B950" s="16"/>
      <c r="C950" s="16"/>
      <c r="D950" s="16"/>
      <c r="E950" s="16"/>
      <c r="F950" s="209"/>
      <c r="G950" s="209"/>
      <c r="H950" s="209"/>
      <c r="I950" s="209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 spans="2:24">
      <c r="B951" s="16"/>
      <c r="C951" s="16"/>
      <c r="D951" s="16"/>
      <c r="E951" s="16"/>
      <c r="F951" s="209"/>
      <c r="G951" s="209"/>
      <c r="H951" s="209"/>
      <c r="I951" s="209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 spans="2:24">
      <c r="B952" s="16"/>
      <c r="C952" s="16"/>
      <c r="D952" s="16"/>
      <c r="E952" s="16"/>
      <c r="F952" s="209"/>
      <c r="G952" s="209"/>
      <c r="H952" s="209"/>
      <c r="I952" s="209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 spans="2:24">
      <c r="B953" s="16"/>
      <c r="C953" s="16"/>
      <c r="D953" s="16"/>
      <c r="E953" s="16"/>
      <c r="F953" s="209"/>
      <c r="G953" s="209"/>
      <c r="H953" s="209"/>
      <c r="I953" s="209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 spans="2:24">
      <c r="B954" s="16"/>
      <c r="C954" s="16"/>
      <c r="D954" s="16"/>
      <c r="E954" s="16"/>
      <c r="F954" s="209"/>
      <c r="G954" s="209"/>
      <c r="H954" s="209"/>
      <c r="I954" s="209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 spans="2:24">
      <c r="B955" s="16"/>
      <c r="C955" s="16"/>
      <c r="D955" s="16"/>
      <c r="E955" s="16"/>
      <c r="F955" s="209"/>
      <c r="G955" s="209"/>
      <c r="H955" s="209"/>
      <c r="I955" s="209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 spans="2:24">
      <c r="B956" s="16"/>
      <c r="C956" s="16"/>
      <c r="D956" s="16"/>
      <c r="E956" s="16"/>
      <c r="F956" s="209"/>
      <c r="G956" s="209"/>
      <c r="H956" s="209"/>
      <c r="I956" s="209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 spans="2:24">
      <c r="B957" s="16"/>
      <c r="C957" s="16"/>
      <c r="D957" s="16"/>
      <c r="E957" s="16"/>
      <c r="F957" s="209"/>
      <c r="G957" s="209"/>
      <c r="H957" s="209"/>
      <c r="I957" s="209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 spans="2:24">
      <c r="B958" s="16"/>
      <c r="C958" s="16"/>
      <c r="D958" s="16"/>
      <c r="E958" s="16"/>
      <c r="F958" s="209"/>
      <c r="G958" s="209"/>
      <c r="H958" s="209"/>
      <c r="I958" s="209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 spans="2:24">
      <c r="B959" s="16"/>
      <c r="C959" s="16"/>
      <c r="D959" s="16"/>
      <c r="E959" s="16"/>
      <c r="F959" s="209"/>
      <c r="G959" s="209"/>
      <c r="H959" s="209"/>
      <c r="I959" s="209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 spans="2:24">
      <c r="B960" s="16"/>
      <c r="C960" s="16"/>
      <c r="D960" s="16"/>
      <c r="E960" s="16"/>
      <c r="F960" s="209"/>
      <c r="G960" s="209"/>
      <c r="H960" s="209"/>
      <c r="I960" s="209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 spans="2:24">
      <c r="B961" s="16"/>
      <c r="C961" s="16"/>
      <c r="D961" s="16"/>
      <c r="E961" s="16"/>
      <c r="F961" s="209"/>
      <c r="G961" s="209"/>
      <c r="H961" s="209"/>
      <c r="I961" s="209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 spans="2:24">
      <c r="B962" s="16"/>
      <c r="C962" s="16"/>
      <c r="D962" s="16"/>
      <c r="E962" s="16"/>
      <c r="F962" s="209"/>
      <c r="G962" s="209"/>
      <c r="H962" s="209"/>
      <c r="I962" s="209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 spans="2:24">
      <c r="B963" s="16"/>
      <c r="C963" s="16"/>
      <c r="D963" s="16"/>
      <c r="E963" s="16"/>
      <c r="F963" s="209"/>
      <c r="G963" s="209"/>
      <c r="H963" s="209"/>
      <c r="I963" s="209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 spans="2:24">
      <c r="B964" s="16"/>
      <c r="C964" s="16"/>
      <c r="D964" s="16"/>
      <c r="E964" s="16"/>
      <c r="F964" s="209"/>
      <c r="G964" s="209"/>
      <c r="H964" s="209"/>
      <c r="I964" s="209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 spans="2:24">
      <c r="B965" s="16"/>
      <c r="C965" s="16"/>
      <c r="D965" s="16"/>
      <c r="E965" s="16"/>
      <c r="F965" s="209"/>
      <c r="G965" s="209"/>
      <c r="H965" s="209"/>
      <c r="I965" s="209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 spans="2:24">
      <c r="B966" s="16"/>
      <c r="C966" s="16"/>
      <c r="D966" s="16"/>
      <c r="E966" s="16"/>
      <c r="F966" s="209"/>
      <c r="G966" s="209"/>
      <c r="H966" s="209"/>
      <c r="I966" s="209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 spans="2:24">
      <c r="B967" s="16"/>
      <c r="C967" s="16"/>
      <c r="D967" s="16"/>
      <c r="E967" s="16"/>
      <c r="F967" s="209"/>
      <c r="G967" s="209"/>
      <c r="H967" s="209"/>
      <c r="I967" s="209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 spans="2:24">
      <c r="B968" s="16"/>
      <c r="C968" s="16"/>
      <c r="D968" s="16"/>
      <c r="E968" s="16"/>
      <c r="F968" s="209"/>
      <c r="G968" s="209"/>
      <c r="H968" s="209"/>
      <c r="I968" s="209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 spans="2:24">
      <c r="B969" s="16"/>
      <c r="C969" s="16"/>
      <c r="D969" s="16"/>
      <c r="E969" s="16"/>
      <c r="F969" s="209"/>
      <c r="G969" s="209"/>
      <c r="H969" s="209"/>
      <c r="I969" s="209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 spans="2:24">
      <c r="B970" s="16"/>
      <c r="C970" s="16"/>
      <c r="D970" s="16"/>
      <c r="E970" s="16"/>
      <c r="F970" s="209"/>
      <c r="G970" s="209"/>
      <c r="H970" s="209"/>
      <c r="I970" s="209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 spans="2:24">
      <c r="B971" s="16"/>
      <c r="C971" s="16"/>
      <c r="D971" s="16"/>
      <c r="E971" s="16"/>
      <c r="F971" s="209"/>
      <c r="G971" s="209"/>
      <c r="H971" s="209"/>
      <c r="I971" s="209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 spans="2:24">
      <c r="B972" s="16"/>
      <c r="C972" s="16"/>
      <c r="D972" s="16"/>
      <c r="E972" s="16"/>
      <c r="F972" s="209"/>
      <c r="G972" s="209"/>
      <c r="H972" s="209"/>
      <c r="I972" s="209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 spans="2:24">
      <c r="B973" s="16"/>
      <c r="C973" s="16"/>
      <c r="D973" s="16"/>
      <c r="E973" s="16"/>
      <c r="F973" s="209"/>
      <c r="G973" s="209"/>
      <c r="H973" s="209"/>
      <c r="I973" s="209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</sheetData>
  <mergeCells count="60">
    <mergeCell ref="B47:C47"/>
    <mergeCell ref="B48:C48"/>
    <mergeCell ref="B49:C49"/>
    <mergeCell ref="B50:C50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C1"/>
    <mergeCell ref="B3:C3"/>
    <mergeCell ref="B4:C4"/>
    <mergeCell ref="B5:C5"/>
    <mergeCell ref="B6:C6"/>
    <mergeCell ref="B58:C58"/>
    <mergeCell ref="B59:C59"/>
    <mergeCell ref="B60:C60"/>
    <mergeCell ref="B61:C61"/>
    <mergeCell ref="B51:C51"/>
    <mergeCell ref="B52:C52"/>
    <mergeCell ref="B53:C53"/>
    <mergeCell ref="B54:C54"/>
    <mergeCell ref="B55:C55"/>
    <mergeCell ref="B56:C56"/>
    <mergeCell ref="B57:C57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63"/>
  <sheetViews>
    <sheetView workbookViewId="0"/>
  </sheetViews>
  <sheetFormatPr defaultColWidth="12.5703125" defaultRowHeight="15" customHeight="1"/>
  <cols>
    <col min="1" max="1" width="16.5703125" customWidth="1"/>
    <col min="2" max="2" width="15.140625" customWidth="1"/>
    <col min="3" max="3" width="1.85546875" customWidth="1"/>
    <col min="4" max="4" width="19.7109375" customWidth="1"/>
    <col min="6" max="6" width="57.7109375" bestFit="1" customWidth="1"/>
    <col min="7" max="7" width="23.7109375" bestFit="1" customWidth="1"/>
    <col min="8" max="8" width="15.85546875" customWidth="1"/>
    <col min="10" max="10" width="12.5703125" style="191"/>
    <col min="11" max="11" width="25.7109375" bestFit="1" customWidth="1"/>
    <col min="12" max="12" width="21.28515625" style="191" customWidth="1"/>
    <col min="13" max="13" width="19" customWidth="1"/>
    <col min="14" max="14" width="12.5703125" style="191"/>
    <col min="15" max="15" width="21.140625" style="191" customWidth="1"/>
  </cols>
  <sheetData>
    <row r="1" spans="1:16">
      <c r="A1" s="235" t="s">
        <v>225</v>
      </c>
      <c r="B1" s="30" t="s">
        <v>76</v>
      </c>
      <c r="C1" s="169"/>
      <c r="D1" s="31" t="s">
        <v>77</v>
      </c>
      <c r="E1" s="31" t="s">
        <v>78</v>
      </c>
      <c r="F1" s="31" t="s">
        <v>79</v>
      </c>
      <c r="G1" s="31" t="s">
        <v>80</v>
      </c>
      <c r="H1" s="31" t="s">
        <v>10</v>
      </c>
      <c r="I1" s="31" t="s">
        <v>9</v>
      </c>
      <c r="J1" s="197" t="s">
        <v>8</v>
      </c>
      <c r="K1" s="31" t="s">
        <v>4</v>
      </c>
      <c r="L1" s="197" t="s">
        <v>5</v>
      </c>
      <c r="M1" s="31" t="s">
        <v>81</v>
      </c>
      <c r="N1" s="197" t="s">
        <v>6</v>
      </c>
      <c r="O1" s="197" t="s">
        <v>7</v>
      </c>
      <c r="P1" s="32"/>
    </row>
    <row r="2" spans="1:16">
      <c r="A2" s="29" t="s">
        <v>250</v>
      </c>
      <c r="B2" s="33"/>
      <c r="C2" s="170"/>
      <c r="D2" s="34">
        <v>4</v>
      </c>
      <c r="E2" s="35" t="s">
        <v>82</v>
      </c>
      <c r="F2" s="35" t="s">
        <v>61</v>
      </c>
      <c r="G2" s="36">
        <v>0</v>
      </c>
      <c r="H2" s="37">
        <v>10</v>
      </c>
      <c r="I2" s="37">
        <v>0</v>
      </c>
      <c r="J2" s="198">
        <v>10</v>
      </c>
      <c r="K2" s="38">
        <v>10</v>
      </c>
      <c r="L2" s="203">
        <v>0</v>
      </c>
      <c r="M2" s="38">
        <v>1</v>
      </c>
      <c r="N2" s="203">
        <v>56</v>
      </c>
      <c r="O2" s="203">
        <v>129</v>
      </c>
      <c r="P2" s="32"/>
    </row>
    <row r="3" spans="1:16">
      <c r="A3" s="29"/>
      <c r="B3" s="33"/>
      <c r="D3" s="35"/>
      <c r="E3" s="35" t="s">
        <v>82</v>
      </c>
      <c r="F3" s="35" t="s">
        <v>63</v>
      </c>
      <c r="G3" s="36">
        <v>0</v>
      </c>
      <c r="H3" s="37">
        <v>484</v>
      </c>
      <c r="I3" s="37">
        <v>0</v>
      </c>
      <c r="J3" s="198">
        <v>484</v>
      </c>
      <c r="K3" s="38">
        <v>443</v>
      </c>
      <c r="L3" s="203">
        <v>239</v>
      </c>
      <c r="M3" s="38">
        <v>45</v>
      </c>
      <c r="N3" s="203">
        <v>2578</v>
      </c>
      <c r="O3" s="203">
        <v>6043</v>
      </c>
      <c r="P3" s="32"/>
    </row>
    <row r="4" spans="1:16">
      <c r="A4" s="29"/>
      <c r="B4" s="33"/>
      <c r="D4" s="35"/>
      <c r="E4" s="35" t="s">
        <v>83</v>
      </c>
      <c r="F4" s="35" t="s">
        <v>54</v>
      </c>
      <c r="G4" s="36">
        <v>0</v>
      </c>
      <c r="H4" s="37">
        <v>0</v>
      </c>
      <c r="I4" s="37">
        <v>0</v>
      </c>
      <c r="J4" s="198">
        <v>0</v>
      </c>
      <c r="K4" s="38">
        <v>0</v>
      </c>
      <c r="L4" s="203">
        <v>0</v>
      </c>
      <c r="M4" s="38">
        <v>0</v>
      </c>
      <c r="N4" s="203">
        <v>0</v>
      </c>
      <c r="O4" s="203">
        <v>0</v>
      </c>
      <c r="P4" s="32"/>
    </row>
    <row r="5" spans="1:16">
      <c r="A5" s="29"/>
      <c r="B5" s="33"/>
      <c r="D5" s="35"/>
      <c r="E5" s="35" t="s">
        <v>82</v>
      </c>
      <c r="F5" s="35" t="s">
        <v>54</v>
      </c>
      <c r="G5" s="36">
        <v>0</v>
      </c>
      <c r="H5" s="37">
        <v>132</v>
      </c>
      <c r="I5" s="37">
        <v>0</v>
      </c>
      <c r="J5" s="198">
        <v>132</v>
      </c>
      <c r="K5" s="38">
        <v>123</v>
      </c>
      <c r="L5" s="203">
        <v>48</v>
      </c>
      <c r="M5" s="38">
        <v>13</v>
      </c>
      <c r="N5" s="203">
        <v>715</v>
      </c>
      <c r="O5" s="203">
        <v>1668</v>
      </c>
      <c r="P5" s="32"/>
    </row>
    <row r="6" spans="1:16">
      <c r="A6" s="29"/>
      <c r="B6" s="33"/>
      <c r="D6" s="35"/>
      <c r="E6" s="35" t="s">
        <v>82</v>
      </c>
      <c r="F6" s="35" t="s">
        <v>56</v>
      </c>
      <c r="G6" s="36">
        <v>2011</v>
      </c>
      <c r="H6" s="37">
        <v>83</v>
      </c>
      <c r="I6" s="37">
        <v>0</v>
      </c>
      <c r="J6" s="198">
        <v>83</v>
      </c>
      <c r="K6" s="38">
        <v>76</v>
      </c>
      <c r="L6" s="203">
        <v>41</v>
      </c>
      <c r="M6" s="38">
        <v>8</v>
      </c>
      <c r="N6" s="203">
        <v>441</v>
      </c>
      <c r="O6" s="203">
        <v>1033</v>
      </c>
      <c r="P6" s="32"/>
    </row>
    <row r="7" spans="1:16">
      <c r="A7" s="29"/>
      <c r="B7" s="33"/>
      <c r="C7" s="39"/>
      <c r="D7" s="35"/>
      <c r="E7" s="35" t="s">
        <v>82</v>
      </c>
      <c r="F7" s="35" t="s">
        <v>84</v>
      </c>
      <c r="G7" s="36">
        <v>0</v>
      </c>
      <c r="H7" s="37">
        <v>0</v>
      </c>
      <c r="I7" s="37">
        <v>0</v>
      </c>
      <c r="J7" s="198">
        <v>0</v>
      </c>
      <c r="K7" s="38">
        <v>0</v>
      </c>
      <c r="L7" s="203">
        <v>0</v>
      </c>
      <c r="M7" s="38">
        <v>0</v>
      </c>
      <c r="N7" s="203">
        <v>0</v>
      </c>
      <c r="O7" s="203">
        <v>0</v>
      </c>
      <c r="P7" s="32"/>
    </row>
    <row r="8" spans="1:16">
      <c r="A8" s="29"/>
      <c r="B8" s="33"/>
      <c r="D8" s="35"/>
      <c r="E8" s="35" t="s">
        <v>82</v>
      </c>
      <c r="F8" s="35" t="s">
        <v>65</v>
      </c>
      <c r="G8" s="36">
        <v>800</v>
      </c>
      <c r="H8" s="37">
        <v>191</v>
      </c>
      <c r="I8" s="37">
        <v>0</v>
      </c>
      <c r="J8" s="198">
        <v>191</v>
      </c>
      <c r="K8" s="38">
        <v>70</v>
      </c>
      <c r="L8" s="203">
        <v>690</v>
      </c>
      <c r="M8" s="38">
        <v>9</v>
      </c>
      <c r="N8" s="203">
        <v>537</v>
      </c>
      <c r="O8" s="203">
        <v>1605</v>
      </c>
      <c r="P8" s="32"/>
    </row>
    <row r="9" spans="1:16">
      <c r="A9" s="29"/>
      <c r="B9" s="33"/>
      <c r="C9" s="171"/>
      <c r="D9" s="35"/>
      <c r="E9" s="35" t="s">
        <v>83</v>
      </c>
      <c r="F9" s="35" t="s">
        <v>50</v>
      </c>
      <c r="G9" s="36">
        <v>0</v>
      </c>
      <c r="H9" s="37">
        <v>0</v>
      </c>
      <c r="I9" s="37">
        <v>0</v>
      </c>
      <c r="J9" s="198">
        <v>0</v>
      </c>
      <c r="K9" s="38">
        <v>0</v>
      </c>
      <c r="L9" s="203">
        <v>0</v>
      </c>
      <c r="M9" s="38">
        <v>0</v>
      </c>
      <c r="N9" s="203">
        <v>0</v>
      </c>
      <c r="O9" s="203">
        <v>0</v>
      </c>
      <c r="P9" s="32"/>
    </row>
    <row r="10" spans="1:16">
      <c r="A10" s="40"/>
      <c r="B10" s="41"/>
      <c r="C10" s="42"/>
      <c r="D10" s="43"/>
      <c r="E10" s="43"/>
      <c r="F10" s="43"/>
      <c r="G10" s="44">
        <v>2811</v>
      </c>
      <c r="H10" s="44">
        <v>900</v>
      </c>
      <c r="I10" s="45">
        <v>0</v>
      </c>
      <c r="J10" s="199">
        <v>900</v>
      </c>
      <c r="K10" s="46">
        <v>722</v>
      </c>
      <c r="L10" s="204">
        <v>1018</v>
      </c>
      <c r="M10" s="46">
        <v>76</v>
      </c>
      <c r="N10" s="204">
        <v>4327</v>
      </c>
      <c r="O10" s="204">
        <v>10478</v>
      </c>
      <c r="P10" s="47"/>
    </row>
    <row r="11" spans="1:16">
      <c r="A11" s="29" t="s">
        <v>253</v>
      </c>
      <c r="B11" s="33"/>
      <c r="C11" s="170"/>
      <c r="D11" s="38">
        <v>2</v>
      </c>
      <c r="E11" s="35" t="s">
        <v>83</v>
      </c>
      <c r="F11" s="35" t="s">
        <v>40</v>
      </c>
      <c r="G11" s="36">
        <v>0</v>
      </c>
      <c r="H11" s="37">
        <v>0</v>
      </c>
      <c r="I11" s="37">
        <v>0</v>
      </c>
      <c r="J11" s="198">
        <v>0</v>
      </c>
      <c r="K11" s="38">
        <v>0</v>
      </c>
      <c r="L11" s="203">
        <v>0</v>
      </c>
      <c r="M11" s="38">
        <v>0</v>
      </c>
      <c r="N11" s="203">
        <v>0</v>
      </c>
      <c r="O11" s="203">
        <v>0</v>
      </c>
      <c r="P11" s="32"/>
    </row>
    <row r="12" spans="1:16">
      <c r="A12" s="29"/>
      <c r="B12" s="33"/>
      <c r="D12" s="35"/>
      <c r="E12" s="35" t="s">
        <v>82</v>
      </c>
      <c r="F12" s="35" t="s">
        <v>30</v>
      </c>
      <c r="G12" s="36">
        <v>450</v>
      </c>
      <c r="H12" s="37">
        <v>0</v>
      </c>
      <c r="I12" s="37">
        <v>347</v>
      </c>
      <c r="J12" s="198">
        <v>347</v>
      </c>
      <c r="K12" s="38">
        <v>313</v>
      </c>
      <c r="L12" s="203">
        <v>200</v>
      </c>
      <c r="M12" s="38">
        <v>32</v>
      </c>
      <c r="N12" s="203">
        <v>1830</v>
      </c>
      <c r="O12" s="203">
        <v>4306</v>
      </c>
      <c r="P12" s="32"/>
    </row>
    <row r="13" spans="1:16">
      <c r="A13" s="29"/>
      <c r="B13" s="33"/>
      <c r="D13" s="35"/>
      <c r="E13" s="35" t="s">
        <v>82</v>
      </c>
      <c r="F13" s="35" t="s">
        <v>49</v>
      </c>
      <c r="G13" s="36">
        <v>525</v>
      </c>
      <c r="H13" s="37">
        <v>0</v>
      </c>
      <c r="I13" s="37">
        <v>20</v>
      </c>
      <c r="J13" s="198">
        <v>20</v>
      </c>
      <c r="K13" s="38">
        <v>18</v>
      </c>
      <c r="L13" s="203">
        <v>11</v>
      </c>
      <c r="M13" s="38">
        <v>2</v>
      </c>
      <c r="N13" s="203">
        <v>104</v>
      </c>
      <c r="O13" s="203">
        <v>244</v>
      </c>
      <c r="P13" s="32"/>
    </row>
    <row r="14" spans="1:16">
      <c r="A14" s="29"/>
      <c r="B14" s="33"/>
      <c r="D14" s="35"/>
      <c r="E14" s="35" t="s">
        <v>82</v>
      </c>
      <c r="F14" s="35" t="s">
        <v>34</v>
      </c>
      <c r="G14" s="36">
        <v>675</v>
      </c>
      <c r="H14" s="37">
        <v>0</v>
      </c>
      <c r="I14" s="37">
        <v>60</v>
      </c>
      <c r="J14" s="198">
        <v>60</v>
      </c>
      <c r="K14" s="38">
        <v>54</v>
      </c>
      <c r="L14" s="203">
        <v>29</v>
      </c>
      <c r="M14" s="38">
        <v>6</v>
      </c>
      <c r="N14" s="203">
        <v>322</v>
      </c>
      <c r="O14" s="203">
        <v>755</v>
      </c>
      <c r="P14" s="32"/>
    </row>
    <row r="15" spans="1:16">
      <c r="A15" s="29"/>
      <c r="B15" s="33"/>
      <c r="D15" s="35"/>
      <c r="E15" s="35" t="s">
        <v>82</v>
      </c>
      <c r="F15" s="35" t="s">
        <v>61</v>
      </c>
      <c r="G15" s="36">
        <v>75</v>
      </c>
      <c r="H15" s="37">
        <v>0</v>
      </c>
      <c r="I15" s="37">
        <v>8</v>
      </c>
      <c r="J15" s="198">
        <v>8</v>
      </c>
      <c r="K15" s="38">
        <v>70</v>
      </c>
      <c r="L15" s="203">
        <v>4</v>
      </c>
      <c r="M15" s="38">
        <v>1</v>
      </c>
      <c r="N15" s="203">
        <v>41</v>
      </c>
      <c r="O15" s="203">
        <v>96</v>
      </c>
      <c r="P15" s="32"/>
    </row>
    <row r="16" spans="1:16">
      <c r="A16" s="40"/>
      <c r="B16" s="41"/>
      <c r="C16" s="48"/>
      <c r="D16" s="43"/>
      <c r="E16" s="43"/>
      <c r="F16" s="43"/>
      <c r="G16" s="44">
        <v>1725</v>
      </c>
      <c r="H16" s="44">
        <v>0</v>
      </c>
      <c r="I16" s="45">
        <v>435</v>
      </c>
      <c r="J16" s="199">
        <v>435</v>
      </c>
      <c r="K16" s="46">
        <v>455</v>
      </c>
      <c r="L16" s="204">
        <v>244</v>
      </c>
      <c r="M16" s="46">
        <v>41</v>
      </c>
      <c r="N16" s="204">
        <v>2297</v>
      </c>
      <c r="O16" s="204">
        <v>5401</v>
      </c>
      <c r="P16" s="47"/>
    </row>
    <row r="17" spans="1:16">
      <c r="A17" s="29" t="s">
        <v>254</v>
      </c>
      <c r="B17" s="33"/>
      <c r="C17" s="170"/>
      <c r="D17" s="38">
        <v>6</v>
      </c>
      <c r="E17" s="35" t="s">
        <v>83</v>
      </c>
      <c r="F17" s="35" t="s">
        <v>40</v>
      </c>
      <c r="G17" s="36">
        <v>0</v>
      </c>
      <c r="H17" s="37">
        <v>0</v>
      </c>
      <c r="I17" s="37">
        <v>0</v>
      </c>
      <c r="J17" s="198">
        <v>0</v>
      </c>
      <c r="K17" s="38">
        <v>0</v>
      </c>
      <c r="L17" s="203">
        <v>0</v>
      </c>
      <c r="M17" s="38">
        <v>0</v>
      </c>
      <c r="N17" s="203">
        <v>0</v>
      </c>
      <c r="O17" s="203">
        <v>0</v>
      </c>
      <c r="P17" s="32"/>
    </row>
    <row r="18" spans="1:16">
      <c r="A18" s="29"/>
      <c r="B18" s="33"/>
      <c r="D18" s="35"/>
      <c r="E18" s="35" t="s">
        <v>82</v>
      </c>
      <c r="F18" s="35" t="s">
        <v>85</v>
      </c>
      <c r="G18" s="36">
        <v>0</v>
      </c>
      <c r="H18" s="37">
        <v>435</v>
      </c>
      <c r="I18" s="37">
        <v>0</v>
      </c>
      <c r="J18" s="198">
        <v>435</v>
      </c>
      <c r="K18" s="38">
        <v>0</v>
      </c>
      <c r="L18" s="203">
        <v>2419</v>
      </c>
      <c r="M18" s="38">
        <v>8</v>
      </c>
      <c r="N18" s="203">
        <v>472</v>
      </c>
      <c r="O18" s="203">
        <v>2395</v>
      </c>
      <c r="P18" s="32"/>
    </row>
    <row r="19" spans="1:16">
      <c r="A19" s="40"/>
      <c r="B19" s="41"/>
      <c r="C19" s="48"/>
      <c r="D19" s="43"/>
      <c r="E19" s="43"/>
      <c r="F19" s="43"/>
      <c r="G19" s="44">
        <v>0</v>
      </c>
      <c r="H19" s="44">
        <v>435</v>
      </c>
      <c r="I19" s="45">
        <v>0</v>
      </c>
      <c r="J19" s="199">
        <v>435</v>
      </c>
      <c r="K19" s="46">
        <v>0</v>
      </c>
      <c r="L19" s="204">
        <v>2419</v>
      </c>
      <c r="M19" s="46">
        <v>8</v>
      </c>
      <c r="N19" s="204">
        <v>472</v>
      </c>
      <c r="O19" s="204">
        <v>2395</v>
      </c>
      <c r="P19" s="47"/>
    </row>
    <row r="20" spans="1:16">
      <c r="A20" s="29" t="s">
        <v>255</v>
      </c>
      <c r="B20" s="33"/>
      <c r="C20" s="170"/>
      <c r="D20" s="38">
        <v>2</v>
      </c>
      <c r="E20" s="35" t="s">
        <v>82</v>
      </c>
      <c r="F20" s="35" t="s">
        <v>40</v>
      </c>
      <c r="G20" s="36">
        <v>0</v>
      </c>
      <c r="H20" s="37">
        <v>250</v>
      </c>
      <c r="I20" s="37">
        <v>0</v>
      </c>
      <c r="J20" s="198">
        <v>250</v>
      </c>
      <c r="K20" s="38">
        <v>223</v>
      </c>
      <c r="L20" s="203">
        <v>158</v>
      </c>
      <c r="M20" s="38">
        <v>23</v>
      </c>
      <c r="N20" s="203">
        <v>1307</v>
      </c>
      <c r="O20" s="203">
        <v>3084</v>
      </c>
      <c r="P20" s="32"/>
    </row>
    <row r="21" spans="1:16">
      <c r="A21" s="29"/>
      <c r="B21" s="33"/>
      <c r="D21" s="35"/>
      <c r="E21" s="35" t="s">
        <v>83</v>
      </c>
      <c r="F21" s="35" t="s">
        <v>33</v>
      </c>
      <c r="G21" s="36">
        <v>0</v>
      </c>
      <c r="H21" s="37">
        <v>0</v>
      </c>
      <c r="I21" s="37">
        <v>0</v>
      </c>
      <c r="J21" s="198">
        <v>0</v>
      </c>
      <c r="K21" s="38">
        <v>0</v>
      </c>
      <c r="L21" s="203">
        <v>0</v>
      </c>
      <c r="M21" s="38">
        <v>0</v>
      </c>
      <c r="N21" s="203">
        <v>0</v>
      </c>
      <c r="O21" s="203">
        <v>0</v>
      </c>
      <c r="P21" s="32"/>
    </row>
    <row r="22" spans="1:16">
      <c r="A22" s="40"/>
      <c r="B22" s="41"/>
      <c r="C22" s="48"/>
      <c r="D22" s="43"/>
      <c r="E22" s="43"/>
      <c r="F22" s="43"/>
      <c r="G22" s="44">
        <v>0</v>
      </c>
      <c r="H22" s="44">
        <v>250</v>
      </c>
      <c r="I22" s="45">
        <v>0</v>
      </c>
      <c r="J22" s="199">
        <v>250</v>
      </c>
      <c r="K22" s="46">
        <v>223</v>
      </c>
      <c r="L22" s="204">
        <v>158</v>
      </c>
      <c r="M22" s="46">
        <v>23</v>
      </c>
      <c r="N22" s="204">
        <v>1307</v>
      </c>
      <c r="O22" s="204">
        <v>3084</v>
      </c>
      <c r="P22" s="47"/>
    </row>
    <row r="23" spans="1:16">
      <c r="A23" s="29" t="s">
        <v>256</v>
      </c>
      <c r="B23" s="33"/>
      <c r="C23" s="170"/>
      <c r="D23" s="38">
        <v>4</v>
      </c>
      <c r="E23" s="35" t="s">
        <v>82</v>
      </c>
      <c r="F23" s="35" t="s">
        <v>34</v>
      </c>
      <c r="G23" s="36">
        <v>1120</v>
      </c>
      <c r="H23" s="37">
        <v>121</v>
      </c>
      <c r="I23" s="37">
        <v>0</v>
      </c>
      <c r="J23" s="198">
        <v>121</v>
      </c>
      <c r="K23" s="38">
        <v>111</v>
      </c>
      <c r="L23" s="203">
        <v>55</v>
      </c>
      <c r="M23" s="38">
        <v>11</v>
      </c>
      <c r="N23" s="203">
        <v>644</v>
      </c>
      <c r="O23" s="203">
        <v>1507</v>
      </c>
      <c r="P23" s="32"/>
    </row>
    <row r="24" spans="1:16">
      <c r="A24" s="29"/>
      <c r="B24" s="33"/>
      <c r="D24" s="35"/>
      <c r="E24" s="35" t="s">
        <v>83</v>
      </c>
      <c r="F24" s="35" t="s">
        <v>74</v>
      </c>
      <c r="G24" s="36">
        <v>0</v>
      </c>
      <c r="H24" s="37">
        <v>0</v>
      </c>
      <c r="I24" s="37">
        <v>0</v>
      </c>
      <c r="J24" s="198">
        <v>0</v>
      </c>
      <c r="K24" s="38">
        <v>0</v>
      </c>
      <c r="L24" s="203">
        <v>0</v>
      </c>
      <c r="M24" s="38">
        <v>0</v>
      </c>
      <c r="N24" s="203">
        <v>0</v>
      </c>
      <c r="O24" s="203">
        <v>0</v>
      </c>
      <c r="P24" s="32"/>
    </row>
    <row r="25" spans="1:16">
      <c r="A25" s="29"/>
      <c r="B25" s="33"/>
      <c r="D25" s="35"/>
      <c r="E25" s="35" t="s">
        <v>83</v>
      </c>
      <c r="F25" s="35" t="s">
        <v>40</v>
      </c>
      <c r="G25" s="36">
        <v>0</v>
      </c>
      <c r="H25" s="37">
        <v>0</v>
      </c>
      <c r="I25" s="37">
        <v>0</v>
      </c>
      <c r="J25" s="198">
        <v>0</v>
      </c>
      <c r="K25" s="38">
        <v>0</v>
      </c>
      <c r="L25" s="203">
        <v>0</v>
      </c>
      <c r="M25" s="38">
        <v>0</v>
      </c>
      <c r="N25" s="203">
        <v>0</v>
      </c>
      <c r="O25" s="203">
        <v>0</v>
      </c>
      <c r="P25" s="32"/>
    </row>
    <row r="26" spans="1:16">
      <c r="A26" s="29"/>
      <c r="B26" s="33"/>
      <c r="D26" s="35"/>
      <c r="E26" s="35" t="s">
        <v>82</v>
      </c>
      <c r="F26" s="35" t="s">
        <v>49</v>
      </c>
      <c r="G26" s="36">
        <v>0</v>
      </c>
      <c r="H26" s="37">
        <v>73</v>
      </c>
      <c r="I26" s="37">
        <v>0</v>
      </c>
      <c r="J26" s="198">
        <v>73</v>
      </c>
      <c r="K26" s="38">
        <v>65</v>
      </c>
      <c r="L26" s="203">
        <v>46</v>
      </c>
      <c r="M26" s="38">
        <v>7</v>
      </c>
      <c r="N26" s="203">
        <v>381</v>
      </c>
      <c r="O26" s="203">
        <v>898</v>
      </c>
      <c r="P26" s="32"/>
    </row>
    <row r="27" spans="1:16">
      <c r="A27" s="29"/>
      <c r="B27" s="33"/>
      <c r="D27" s="35"/>
      <c r="E27" s="35" t="s">
        <v>82</v>
      </c>
      <c r="F27" s="35" t="s">
        <v>61</v>
      </c>
      <c r="G27" s="36">
        <v>0</v>
      </c>
      <c r="H27" s="37">
        <v>6</v>
      </c>
      <c r="I27" s="37">
        <v>0</v>
      </c>
      <c r="J27" s="198">
        <v>6</v>
      </c>
      <c r="K27" s="38">
        <v>52</v>
      </c>
      <c r="L27" s="203">
        <v>3</v>
      </c>
      <c r="M27" s="38">
        <v>1</v>
      </c>
      <c r="N27" s="203">
        <v>29</v>
      </c>
      <c r="O27" s="203">
        <v>68</v>
      </c>
      <c r="P27" s="32"/>
    </row>
    <row r="28" spans="1:16">
      <c r="A28" s="40"/>
      <c r="B28" s="41"/>
      <c r="C28" s="48"/>
      <c r="D28" s="43"/>
      <c r="E28" s="43"/>
      <c r="F28" s="43"/>
      <c r="G28" s="44">
        <v>1120</v>
      </c>
      <c r="H28" s="44">
        <v>200</v>
      </c>
      <c r="I28" s="45">
        <v>0</v>
      </c>
      <c r="J28" s="199">
        <v>200</v>
      </c>
      <c r="K28" s="46">
        <v>228</v>
      </c>
      <c r="L28" s="204">
        <v>104</v>
      </c>
      <c r="M28" s="46">
        <v>19</v>
      </c>
      <c r="N28" s="204">
        <v>1054</v>
      </c>
      <c r="O28" s="204">
        <v>2473</v>
      </c>
      <c r="P28" s="47"/>
    </row>
    <row r="29" spans="1:16">
      <c r="A29" s="29" t="s">
        <v>257</v>
      </c>
      <c r="B29" s="33"/>
      <c r="C29" s="170"/>
      <c r="D29" s="38">
        <v>3</v>
      </c>
      <c r="E29" s="35" t="s">
        <v>82</v>
      </c>
      <c r="F29" s="35" t="s">
        <v>68</v>
      </c>
      <c r="G29" s="36">
        <v>0</v>
      </c>
      <c r="H29" s="37">
        <v>0</v>
      </c>
      <c r="I29" s="37">
        <v>0</v>
      </c>
      <c r="J29" s="198">
        <v>0</v>
      </c>
      <c r="K29" s="38">
        <v>0</v>
      </c>
      <c r="L29" s="203">
        <v>0</v>
      </c>
      <c r="M29" s="38">
        <v>0</v>
      </c>
      <c r="N29" s="203">
        <v>0</v>
      </c>
      <c r="O29" s="203">
        <v>0</v>
      </c>
      <c r="P29" s="32"/>
    </row>
    <row r="30" spans="1:16">
      <c r="A30" s="29"/>
      <c r="B30" s="33"/>
      <c r="D30" s="35"/>
      <c r="E30" s="35" t="s">
        <v>82</v>
      </c>
      <c r="F30" s="35" t="s">
        <v>67</v>
      </c>
      <c r="G30" s="36">
        <v>500</v>
      </c>
      <c r="H30" s="37">
        <v>124</v>
      </c>
      <c r="I30" s="37">
        <v>0</v>
      </c>
      <c r="J30" s="198">
        <v>124</v>
      </c>
      <c r="K30" s="38">
        <v>0</v>
      </c>
      <c r="L30" s="203">
        <v>687</v>
      </c>
      <c r="M30" s="38">
        <v>2</v>
      </c>
      <c r="N30" s="203">
        <v>134</v>
      </c>
      <c r="O30" s="203">
        <v>680</v>
      </c>
      <c r="P30" s="32"/>
    </row>
    <row r="31" spans="1:16">
      <c r="A31" s="29"/>
      <c r="B31" s="33"/>
      <c r="D31" s="35"/>
      <c r="E31" s="35" t="s">
        <v>82</v>
      </c>
      <c r="F31" s="35" t="s">
        <v>86</v>
      </c>
      <c r="G31" s="36">
        <v>0</v>
      </c>
      <c r="H31" s="37">
        <v>0</v>
      </c>
      <c r="I31" s="37">
        <v>0</v>
      </c>
      <c r="J31" s="198">
        <v>0</v>
      </c>
      <c r="K31" s="38">
        <v>0</v>
      </c>
      <c r="L31" s="203">
        <v>0</v>
      </c>
      <c r="M31" s="38">
        <v>0</v>
      </c>
      <c r="N31" s="203">
        <v>0</v>
      </c>
      <c r="O31" s="203">
        <v>0</v>
      </c>
      <c r="P31" s="32"/>
    </row>
    <row r="32" spans="1:16">
      <c r="A32" s="40"/>
      <c r="B32" s="41"/>
      <c r="C32" s="48"/>
      <c r="D32" s="43"/>
      <c r="E32" s="43"/>
      <c r="F32" s="43"/>
      <c r="G32" s="44">
        <v>500</v>
      </c>
      <c r="H32" s="44">
        <v>124</v>
      </c>
      <c r="I32" s="45">
        <v>0</v>
      </c>
      <c r="J32" s="199">
        <v>124</v>
      </c>
      <c r="K32" s="46">
        <v>0</v>
      </c>
      <c r="L32" s="204">
        <v>687</v>
      </c>
      <c r="M32" s="46">
        <v>2</v>
      </c>
      <c r="N32" s="204">
        <v>134</v>
      </c>
      <c r="O32" s="204">
        <v>680</v>
      </c>
      <c r="P32" s="47"/>
    </row>
    <row r="33" spans="1:16">
      <c r="A33" s="29" t="s">
        <v>258</v>
      </c>
      <c r="B33" s="33"/>
      <c r="C33" s="170"/>
      <c r="D33" s="38">
        <v>2</v>
      </c>
      <c r="E33" s="35" t="s">
        <v>82</v>
      </c>
      <c r="F33" s="35" t="s">
        <v>73</v>
      </c>
      <c r="G33" s="36">
        <v>0</v>
      </c>
      <c r="H33" s="37">
        <v>0</v>
      </c>
      <c r="I33" s="37">
        <v>0</v>
      </c>
      <c r="J33" s="198">
        <v>0</v>
      </c>
      <c r="K33" s="38">
        <v>0</v>
      </c>
      <c r="L33" s="203">
        <v>0</v>
      </c>
      <c r="M33" s="38">
        <v>0</v>
      </c>
      <c r="N33" s="203">
        <v>0</v>
      </c>
      <c r="O33" s="203">
        <v>0</v>
      </c>
      <c r="P33" s="32"/>
    </row>
    <row r="34" spans="1:16">
      <c r="A34" s="29"/>
      <c r="B34" s="33"/>
      <c r="D34" s="35"/>
      <c r="E34" s="35" t="s">
        <v>82</v>
      </c>
      <c r="F34" s="35" t="s">
        <v>87</v>
      </c>
      <c r="G34" s="36">
        <v>0</v>
      </c>
      <c r="H34" s="37">
        <v>12</v>
      </c>
      <c r="I34" s="37">
        <v>0</v>
      </c>
      <c r="J34" s="198">
        <v>12</v>
      </c>
      <c r="K34" s="38">
        <v>140</v>
      </c>
      <c r="L34" s="203">
        <v>-725</v>
      </c>
      <c r="M34" s="38">
        <v>11</v>
      </c>
      <c r="N34" s="203">
        <v>656</v>
      </c>
      <c r="O34" s="203">
        <v>1113</v>
      </c>
      <c r="P34" s="32"/>
    </row>
    <row r="35" spans="1:16">
      <c r="A35" s="29"/>
      <c r="B35" s="33"/>
      <c r="D35" s="35"/>
      <c r="E35" s="35" t="s">
        <v>82</v>
      </c>
      <c r="F35" s="35" t="s">
        <v>34</v>
      </c>
      <c r="G35" s="36">
        <v>675</v>
      </c>
      <c r="H35" s="37">
        <v>6</v>
      </c>
      <c r="I35" s="37">
        <v>52</v>
      </c>
      <c r="J35" s="198">
        <v>58</v>
      </c>
      <c r="K35" s="38">
        <v>52</v>
      </c>
      <c r="L35" s="203">
        <v>34</v>
      </c>
      <c r="M35" s="38">
        <v>5</v>
      </c>
      <c r="N35" s="203">
        <v>305</v>
      </c>
      <c r="O35" s="203">
        <v>718</v>
      </c>
      <c r="P35" s="32"/>
    </row>
    <row r="36" spans="1:16">
      <c r="A36" s="29"/>
      <c r="B36" s="33"/>
      <c r="D36" s="35"/>
      <c r="E36" s="35" t="s">
        <v>83</v>
      </c>
      <c r="F36" s="35" t="s">
        <v>33</v>
      </c>
      <c r="G36" s="36">
        <v>0</v>
      </c>
      <c r="H36" s="37">
        <v>0</v>
      </c>
      <c r="I36" s="37">
        <v>0</v>
      </c>
      <c r="J36" s="198">
        <v>0</v>
      </c>
      <c r="K36" s="38">
        <v>0</v>
      </c>
      <c r="L36" s="203">
        <v>0</v>
      </c>
      <c r="M36" s="38">
        <v>0</v>
      </c>
      <c r="N36" s="203">
        <v>0</v>
      </c>
      <c r="O36" s="203">
        <v>0</v>
      </c>
      <c r="P36" s="32"/>
    </row>
    <row r="37" spans="1:16">
      <c r="A37" s="29"/>
      <c r="B37" s="33"/>
      <c r="D37" s="35"/>
      <c r="E37" s="35" t="s">
        <v>82</v>
      </c>
      <c r="F37" s="35" t="s">
        <v>39</v>
      </c>
      <c r="G37" s="36">
        <v>525</v>
      </c>
      <c r="H37" s="37">
        <v>8</v>
      </c>
      <c r="I37" s="37">
        <v>48</v>
      </c>
      <c r="J37" s="198">
        <v>56</v>
      </c>
      <c r="K37" s="38">
        <v>48</v>
      </c>
      <c r="L37" s="203">
        <v>43</v>
      </c>
      <c r="M37" s="38">
        <v>5</v>
      </c>
      <c r="N37" s="203">
        <v>280</v>
      </c>
      <c r="O37" s="203">
        <v>666</v>
      </c>
      <c r="P37" s="32"/>
    </row>
    <row r="38" spans="1:16">
      <c r="A38" s="29"/>
      <c r="B38" s="33"/>
      <c r="D38" s="35"/>
      <c r="E38" s="35" t="s">
        <v>82</v>
      </c>
      <c r="F38" s="35" t="s">
        <v>61</v>
      </c>
      <c r="G38" s="36">
        <v>0</v>
      </c>
      <c r="H38" s="37">
        <v>0</v>
      </c>
      <c r="I38" s="37">
        <v>10</v>
      </c>
      <c r="J38" s="198">
        <v>10</v>
      </c>
      <c r="K38" s="38">
        <v>10</v>
      </c>
      <c r="L38" s="203">
        <v>10</v>
      </c>
      <c r="M38" s="38">
        <v>1</v>
      </c>
      <c r="N38" s="203">
        <v>59</v>
      </c>
      <c r="O38" s="203">
        <v>140</v>
      </c>
      <c r="P38" s="32"/>
    </row>
    <row r="39" spans="1:16">
      <c r="A39" s="29"/>
      <c r="B39" s="33"/>
      <c r="D39" s="35"/>
      <c r="E39" s="35" t="s">
        <v>82</v>
      </c>
      <c r="F39" s="35" t="s">
        <v>88</v>
      </c>
      <c r="G39" s="36">
        <v>0</v>
      </c>
      <c r="H39" s="49">
        <v>-15</v>
      </c>
      <c r="I39" s="37">
        <v>0</v>
      </c>
      <c r="J39" s="200">
        <v>-15</v>
      </c>
      <c r="K39" s="38">
        <v>27</v>
      </c>
      <c r="L39" s="203">
        <v>-240</v>
      </c>
      <c r="M39" s="38">
        <v>2</v>
      </c>
      <c r="N39" s="203">
        <v>109</v>
      </c>
      <c r="O39" s="203">
        <v>119</v>
      </c>
      <c r="P39" s="32"/>
    </row>
    <row r="40" spans="1:16">
      <c r="A40" s="29"/>
      <c r="B40" s="33"/>
      <c r="D40" s="35"/>
      <c r="E40" s="35" t="s">
        <v>82</v>
      </c>
      <c r="F40" s="35" t="s">
        <v>68</v>
      </c>
      <c r="G40" s="36">
        <v>0</v>
      </c>
      <c r="H40" s="37">
        <v>0</v>
      </c>
      <c r="I40" s="37">
        <v>0</v>
      </c>
      <c r="J40" s="198">
        <v>0</v>
      </c>
      <c r="K40" s="38">
        <v>0</v>
      </c>
      <c r="L40" s="203">
        <v>0</v>
      </c>
      <c r="M40" s="38">
        <v>0</v>
      </c>
      <c r="N40" s="203">
        <v>0</v>
      </c>
      <c r="O40" s="203">
        <v>0</v>
      </c>
      <c r="P40" s="32"/>
    </row>
    <row r="41" spans="1:16">
      <c r="A41" s="16"/>
      <c r="B41" s="50"/>
      <c r="C41" s="51"/>
      <c r="D41" s="52"/>
      <c r="E41" s="52" t="s">
        <v>82</v>
      </c>
      <c r="F41" s="52" t="s">
        <v>40</v>
      </c>
      <c r="G41" s="53">
        <v>0</v>
      </c>
      <c r="H41" s="54">
        <v>0</v>
      </c>
      <c r="I41" s="54">
        <v>0</v>
      </c>
      <c r="J41" s="198">
        <v>0</v>
      </c>
      <c r="K41" s="34">
        <v>0</v>
      </c>
      <c r="L41" s="203">
        <v>0</v>
      </c>
      <c r="M41" s="34">
        <v>0</v>
      </c>
      <c r="N41" s="203">
        <v>0</v>
      </c>
      <c r="O41" s="203">
        <v>0</v>
      </c>
      <c r="P41" s="55"/>
    </row>
    <row r="42" spans="1:16">
      <c r="A42" s="40"/>
      <c r="B42" s="41"/>
      <c r="C42" s="48"/>
      <c r="D42" s="43"/>
      <c r="E42" s="43"/>
      <c r="F42" s="43"/>
      <c r="G42" s="44">
        <v>1200</v>
      </c>
      <c r="H42" s="44">
        <v>11</v>
      </c>
      <c r="I42" s="45">
        <v>110</v>
      </c>
      <c r="J42" s="199">
        <v>121</v>
      </c>
      <c r="K42" s="46">
        <v>277</v>
      </c>
      <c r="L42" s="204">
        <v>-878</v>
      </c>
      <c r="M42" s="46">
        <v>24</v>
      </c>
      <c r="N42" s="204">
        <v>1409</v>
      </c>
      <c r="O42" s="204">
        <v>2756</v>
      </c>
      <c r="P42" s="47"/>
    </row>
    <row r="43" spans="1:16">
      <c r="A43" s="29" t="s">
        <v>244</v>
      </c>
      <c r="B43" s="33"/>
      <c r="C43" s="170"/>
      <c r="D43" s="38">
        <v>4</v>
      </c>
      <c r="E43" s="35" t="s">
        <v>82</v>
      </c>
      <c r="F43" s="35" t="s">
        <v>87</v>
      </c>
      <c r="G43" s="36">
        <v>0</v>
      </c>
      <c r="H43" s="37">
        <v>0</v>
      </c>
      <c r="I43" s="37">
        <v>80</v>
      </c>
      <c r="J43" s="198">
        <v>80</v>
      </c>
      <c r="K43" s="38">
        <v>480</v>
      </c>
      <c r="L43" s="203">
        <v>-2828</v>
      </c>
      <c r="M43" s="38">
        <v>38</v>
      </c>
      <c r="N43" s="203">
        <v>2194</v>
      </c>
      <c r="O43" s="203">
        <v>3499</v>
      </c>
      <c r="P43" s="32"/>
    </row>
    <row r="44" spans="1:16">
      <c r="A44" s="29"/>
      <c r="B44" s="33"/>
      <c r="D44" s="35"/>
      <c r="E44" s="35" t="s">
        <v>82</v>
      </c>
      <c r="F44" s="35" t="s">
        <v>89</v>
      </c>
      <c r="G44" s="36">
        <v>0</v>
      </c>
      <c r="H44" s="37">
        <v>0</v>
      </c>
      <c r="I44" s="37">
        <v>0</v>
      </c>
      <c r="J44" s="198">
        <v>0</v>
      </c>
      <c r="K44" s="38">
        <v>0</v>
      </c>
      <c r="L44" s="203">
        <v>0</v>
      </c>
      <c r="M44" s="38">
        <v>0</v>
      </c>
      <c r="N44" s="203">
        <v>0</v>
      </c>
      <c r="O44" s="203">
        <v>0</v>
      </c>
      <c r="P44" s="32"/>
    </row>
    <row r="45" spans="1:16">
      <c r="A45" s="29"/>
      <c r="B45" s="33"/>
      <c r="D45" s="35"/>
      <c r="E45" s="35" t="s">
        <v>82</v>
      </c>
      <c r="F45" s="35" t="s">
        <v>68</v>
      </c>
      <c r="G45" s="36">
        <v>0</v>
      </c>
      <c r="H45" s="37">
        <v>0</v>
      </c>
      <c r="I45" s="37">
        <v>0</v>
      </c>
      <c r="J45" s="198">
        <v>0</v>
      </c>
      <c r="K45" s="38">
        <v>0</v>
      </c>
      <c r="L45" s="203">
        <v>0</v>
      </c>
      <c r="M45" s="38">
        <v>0</v>
      </c>
      <c r="N45" s="203">
        <v>0</v>
      </c>
      <c r="O45" s="203">
        <v>0</v>
      </c>
      <c r="P45" s="32"/>
    </row>
    <row r="46" spans="1:16">
      <c r="A46" s="29"/>
      <c r="B46" s="33"/>
      <c r="D46" s="35"/>
      <c r="E46" s="35" t="s">
        <v>82</v>
      </c>
      <c r="F46" s="35" t="s">
        <v>90</v>
      </c>
      <c r="G46" s="36">
        <v>0</v>
      </c>
      <c r="H46" s="37">
        <v>0</v>
      </c>
      <c r="I46" s="37">
        <v>0</v>
      </c>
      <c r="J46" s="198">
        <v>0</v>
      </c>
      <c r="K46" s="38">
        <v>0</v>
      </c>
      <c r="L46" s="203">
        <v>0</v>
      </c>
      <c r="M46" s="38">
        <v>0</v>
      </c>
      <c r="N46" s="203">
        <v>0</v>
      </c>
      <c r="O46" s="203">
        <v>0</v>
      </c>
      <c r="P46" s="32"/>
    </row>
    <row r="47" spans="1:16">
      <c r="A47" s="40"/>
      <c r="B47" s="41"/>
      <c r="C47" s="48"/>
      <c r="D47" s="43"/>
      <c r="E47" s="43"/>
      <c r="F47" s="43"/>
      <c r="G47" s="44">
        <v>0</v>
      </c>
      <c r="H47" s="44">
        <v>0</v>
      </c>
      <c r="I47" s="45">
        <v>80</v>
      </c>
      <c r="J47" s="199">
        <v>80</v>
      </c>
      <c r="K47" s="46">
        <v>480</v>
      </c>
      <c r="L47" s="204">
        <v>-2828</v>
      </c>
      <c r="M47" s="46">
        <v>38</v>
      </c>
      <c r="N47" s="204">
        <v>2194</v>
      </c>
      <c r="O47" s="204">
        <v>3499</v>
      </c>
      <c r="P47" s="47"/>
    </row>
    <row r="48" spans="1:16">
      <c r="A48" s="29" t="s">
        <v>239</v>
      </c>
      <c r="B48" s="33"/>
      <c r="D48" s="38">
        <v>4</v>
      </c>
      <c r="E48" s="35" t="s">
        <v>82</v>
      </c>
      <c r="F48" s="35" t="s">
        <v>40</v>
      </c>
      <c r="G48" s="36">
        <v>0</v>
      </c>
      <c r="H48" s="37">
        <v>0</v>
      </c>
      <c r="I48" s="37">
        <v>0</v>
      </c>
      <c r="J48" s="198">
        <v>0</v>
      </c>
      <c r="K48" s="38">
        <v>0</v>
      </c>
      <c r="L48" s="203">
        <v>0</v>
      </c>
      <c r="M48" s="38">
        <v>0</v>
      </c>
      <c r="N48" s="203">
        <v>0</v>
      </c>
      <c r="O48" s="203">
        <v>0</v>
      </c>
      <c r="P48" s="32"/>
    </row>
    <row r="49" spans="1:16">
      <c r="A49" s="29"/>
      <c r="B49" s="33"/>
      <c r="D49" s="35"/>
      <c r="E49" s="35" t="s">
        <v>82</v>
      </c>
      <c r="F49" s="35" t="s">
        <v>68</v>
      </c>
      <c r="G49" s="36">
        <v>0</v>
      </c>
      <c r="H49" s="37">
        <v>0</v>
      </c>
      <c r="I49" s="37">
        <v>0</v>
      </c>
      <c r="J49" s="198">
        <v>0</v>
      </c>
      <c r="K49" s="38">
        <v>0</v>
      </c>
      <c r="L49" s="203">
        <v>0</v>
      </c>
      <c r="M49" s="38">
        <v>0</v>
      </c>
      <c r="N49" s="203">
        <v>0</v>
      </c>
      <c r="O49" s="203">
        <v>0</v>
      </c>
      <c r="P49" s="32"/>
    </row>
    <row r="50" spans="1:16">
      <c r="A50" s="29"/>
      <c r="B50" s="33"/>
      <c r="D50" s="35"/>
      <c r="E50" s="35" t="s">
        <v>83</v>
      </c>
      <c r="F50" s="35" t="s">
        <v>40</v>
      </c>
      <c r="G50" s="36">
        <v>0</v>
      </c>
      <c r="H50" s="37">
        <v>0</v>
      </c>
      <c r="I50" s="37">
        <v>0</v>
      </c>
      <c r="J50" s="198">
        <v>0</v>
      </c>
      <c r="K50" s="38">
        <v>0</v>
      </c>
      <c r="L50" s="203">
        <v>0</v>
      </c>
      <c r="M50" s="38">
        <v>0</v>
      </c>
      <c r="N50" s="203">
        <v>0</v>
      </c>
      <c r="O50" s="203">
        <v>0</v>
      </c>
      <c r="P50" s="32"/>
    </row>
    <row r="51" spans="1:16">
      <c r="A51" s="29"/>
      <c r="B51" s="33"/>
      <c r="D51" s="35"/>
      <c r="E51" s="35" t="s">
        <v>83</v>
      </c>
      <c r="F51" s="35" t="s">
        <v>40</v>
      </c>
      <c r="G51" s="36">
        <v>0</v>
      </c>
      <c r="H51" s="37">
        <v>0</v>
      </c>
      <c r="I51" s="37">
        <v>0</v>
      </c>
      <c r="J51" s="198">
        <v>0</v>
      </c>
      <c r="K51" s="38">
        <v>0</v>
      </c>
      <c r="L51" s="203">
        <v>0</v>
      </c>
      <c r="M51" s="38">
        <v>0</v>
      </c>
      <c r="N51" s="203">
        <v>0</v>
      </c>
      <c r="O51" s="203">
        <v>0</v>
      </c>
      <c r="P51" s="32"/>
    </row>
    <row r="52" spans="1:16">
      <c r="A52" s="40"/>
      <c r="B52" s="41"/>
      <c r="C52" s="48"/>
      <c r="D52" s="43"/>
      <c r="E52" s="43"/>
      <c r="F52" s="43"/>
      <c r="G52" s="44">
        <v>0</v>
      </c>
      <c r="H52" s="44">
        <v>0</v>
      </c>
      <c r="I52" s="45">
        <v>0</v>
      </c>
      <c r="J52" s="199">
        <v>0</v>
      </c>
      <c r="K52" s="46">
        <v>0</v>
      </c>
      <c r="L52" s="204">
        <v>0</v>
      </c>
      <c r="M52" s="46">
        <v>0</v>
      </c>
      <c r="N52" s="204">
        <v>0</v>
      </c>
      <c r="O52" s="204">
        <v>0</v>
      </c>
      <c r="P52" s="47"/>
    </row>
    <row r="53" spans="1:16">
      <c r="A53" s="29" t="s">
        <v>259</v>
      </c>
      <c r="B53" s="33"/>
      <c r="C53" s="169"/>
      <c r="D53" s="38">
        <v>2</v>
      </c>
      <c r="E53" s="35" t="s">
        <v>83</v>
      </c>
      <c r="F53" s="35" t="s">
        <v>40</v>
      </c>
      <c r="G53" s="36">
        <v>0</v>
      </c>
      <c r="H53" s="37">
        <v>0</v>
      </c>
      <c r="I53" s="37">
        <v>0</v>
      </c>
      <c r="J53" s="198">
        <v>0</v>
      </c>
      <c r="K53" s="38">
        <v>0</v>
      </c>
      <c r="L53" s="203">
        <v>0</v>
      </c>
      <c r="M53" s="38">
        <v>0</v>
      </c>
      <c r="N53" s="203">
        <v>0</v>
      </c>
      <c r="O53" s="203">
        <v>0</v>
      </c>
      <c r="P53" s="32"/>
    </row>
    <row r="54" spans="1:16">
      <c r="A54" s="40"/>
      <c r="B54" s="41"/>
      <c r="C54" s="42"/>
      <c r="D54" s="43"/>
      <c r="E54" s="43"/>
      <c r="F54" s="43"/>
      <c r="G54" s="44">
        <v>0</v>
      </c>
      <c r="H54" s="44">
        <v>0</v>
      </c>
      <c r="I54" s="45">
        <v>0</v>
      </c>
      <c r="J54" s="199">
        <v>0</v>
      </c>
      <c r="K54" s="46">
        <v>0</v>
      </c>
      <c r="L54" s="204">
        <v>0</v>
      </c>
      <c r="M54" s="46">
        <v>0</v>
      </c>
      <c r="N54" s="204">
        <v>0</v>
      </c>
      <c r="O54" s="204">
        <v>0</v>
      </c>
      <c r="P54" s="47"/>
    </row>
    <row r="55" spans="1:16">
      <c r="A55" s="29" t="s">
        <v>259</v>
      </c>
      <c r="B55" s="33"/>
      <c r="C55" s="172"/>
      <c r="D55" s="56">
        <v>2</v>
      </c>
      <c r="E55" s="57" t="s">
        <v>83</v>
      </c>
      <c r="F55" s="58" t="s">
        <v>50</v>
      </c>
      <c r="G55" s="59">
        <v>0</v>
      </c>
      <c r="H55" s="60">
        <v>0</v>
      </c>
      <c r="I55" s="60">
        <v>0</v>
      </c>
      <c r="J55" s="186">
        <v>0</v>
      </c>
      <c r="K55" s="56">
        <v>0</v>
      </c>
      <c r="L55" s="187">
        <v>0</v>
      </c>
      <c r="M55" s="56">
        <v>0</v>
      </c>
      <c r="N55" s="187">
        <v>0</v>
      </c>
      <c r="O55" s="187">
        <v>0</v>
      </c>
      <c r="P55" s="32"/>
    </row>
    <row r="56" spans="1:16">
      <c r="A56" s="40"/>
      <c r="B56" s="61"/>
      <c r="C56" s="62"/>
      <c r="D56" s="63"/>
      <c r="E56" s="63"/>
      <c r="F56" s="64"/>
      <c r="G56" s="65">
        <v>0</v>
      </c>
      <c r="H56" s="65">
        <v>0</v>
      </c>
      <c r="I56" s="66">
        <v>0</v>
      </c>
      <c r="J56" s="188">
        <v>0</v>
      </c>
      <c r="K56" s="63">
        <v>0</v>
      </c>
      <c r="L56" s="193">
        <v>0</v>
      </c>
      <c r="M56" s="63">
        <v>0</v>
      </c>
      <c r="N56" s="193">
        <v>0</v>
      </c>
      <c r="O56" s="193">
        <v>0</v>
      </c>
      <c r="P56" s="47"/>
    </row>
    <row r="57" spans="1:16">
      <c r="A57" s="29" t="s">
        <v>260</v>
      </c>
      <c r="B57" s="33"/>
      <c r="C57" s="169"/>
      <c r="D57" s="38">
        <v>2</v>
      </c>
      <c r="E57" s="35" t="s">
        <v>83</v>
      </c>
      <c r="F57" s="35" t="s">
        <v>50</v>
      </c>
      <c r="G57" s="36">
        <v>0</v>
      </c>
      <c r="H57" s="37">
        <v>0</v>
      </c>
      <c r="I57" s="37">
        <v>0</v>
      </c>
      <c r="J57" s="198">
        <v>0</v>
      </c>
      <c r="K57" s="38">
        <v>0</v>
      </c>
      <c r="L57" s="203">
        <v>0</v>
      </c>
      <c r="M57" s="38">
        <v>0</v>
      </c>
      <c r="N57" s="203">
        <v>0</v>
      </c>
      <c r="O57" s="203">
        <v>0</v>
      </c>
      <c r="P57" s="32"/>
    </row>
    <row r="58" spans="1:16">
      <c r="A58" s="40"/>
      <c r="B58" s="41"/>
      <c r="C58" s="67"/>
      <c r="D58" s="63"/>
      <c r="E58" s="63"/>
      <c r="F58" s="64"/>
      <c r="G58" s="65">
        <v>0</v>
      </c>
      <c r="H58" s="65">
        <v>0</v>
      </c>
      <c r="I58" s="66">
        <v>0</v>
      </c>
      <c r="J58" s="188">
        <v>0</v>
      </c>
      <c r="K58" s="63">
        <v>0</v>
      </c>
      <c r="L58" s="193">
        <v>0</v>
      </c>
      <c r="M58" s="63">
        <v>0</v>
      </c>
      <c r="N58" s="193">
        <v>0</v>
      </c>
      <c r="O58" s="193">
        <v>0</v>
      </c>
      <c r="P58" s="47"/>
    </row>
    <row r="59" spans="1:16">
      <c r="A59" s="68"/>
      <c r="B59" s="69"/>
      <c r="C59" s="70"/>
      <c r="D59" s="71">
        <v>37</v>
      </c>
      <c r="E59" s="72" t="s">
        <v>91</v>
      </c>
      <c r="F59" s="72" t="s">
        <v>92</v>
      </c>
      <c r="G59" s="73">
        <v>7356</v>
      </c>
      <c r="H59" s="73">
        <v>1920</v>
      </c>
      <c r="I59" s="74">
        <v>625</v>
      </c>
      <c r="J59" s="199">
        <v>2545</v>
      </c>
      <c r="K59" s="71">
        <v>2385</v>
      </c>
      <c r="L59" s="204">
        <v>924</v>
      </c>
      <c r="M59" s="71">
        <v>231</v>
      </c>
      <c r="N59" s="204">
        <v>13194</v>
      </c>
      <c r="O59" s="204">
        <v>30766</v>
      </c>
      <c r="P59" s="75"/>
    </row>
    <row r="60" spans="1:16">
      <c r="A60" s="76"/>
      <c r="B60" s="76"/>
      <c r="C60" s="76"/>
      <c r="D60" s="76"/>
      <c r="E60" s="76"/>
      <c r="F60" s="76"/>
      <c r="G60" s="76"/>
      <c r="H60" s="76"/>
      <c r="I60" s="76"/>
      <c r="J60" s="201"/>
      <c r="K60" s="76"/>
      <c r="L60" s="201"/>
      <c r="M60" s="76"/>
      <c r="N60" s="201"/>
      <c r="O60" s="201"/>
      <c r="P60" s="77"/>
    </row>
    <row r="61" spans="1:16">
      <c r="A61" s="76"/>
      <c r="B61" s="76"/>
      <c r="C61" s="76"/>
      <c r="D61" s="76"/>
      <c r="E61" s="76"/>
      <c r="F61" s="76"/>
      <c r="G61" s="76"/>
      <c r="H61" s="76"/>
      <c r="I61" s="76"/>
      <c r="J61" s="201"/>
      <c r="K61" s="76"/>
      <c r="L61" s="201"/>
      <c r="M61" s="76"/>
      <c r="N61" s="201"/>
      <c r="O61" s="201"/>
      <c r="P61" s="77"/>
    </row>
    <row r="62" spans="1:16">
      <c r="A62" s="76"/>
      <c r="B62" s="76"/>
      <c r="C62" s="76"/>
      <c r="D62" s="76"/>
      <c r="E62" s="76"/>
      <c r="F62" s="76"/>
      <c r="G62" s="76"/>
      <c r="H62" s="76"/>
      <c r="I62" s="76"/>
      <c r="J62" s="201"/>
      <c r="K62" s="76"/>
      <c r="L62" s="201"/>
      <c r="M62" s="76"/>
      <c r="N62" s="201"/>
      <c r="O62" s="201"/>
      <c r="P62" s="77"/>
    </row>
    <row r="63" spans="1:16">
      <c r="A63" s="78"/>
      <c r="B63" s="78"/>
      <c r="C63" s="76"/>
      <c r="D63" s="76"/>
      <c r="E63" s="76"/>
      <c r="F63" s="78"/>
      <c r="G63" s="78"/>
      <c r="H63" s="78"/>
      <c r="I63" s="78"/>
      <c r="J63" s="202"/>
      <c r="K63" s="78"/>
      <c r="L63" s="202"/>
      <c r="M63" s="78"/>
      <c r="N63" s="202"/>
      <c r="O63" s="202"/>
      <c r="P63" s="79"/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E100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77" sqref="A77"/>
    </sheetView>
  </sheetViews>
  <sheetFormatPr defaultColWidth="12.5703125" defaultRowHeight="15" customHeight="1"/>
  <cols>
    <col min="1" max="1" width="19.140625" customWidth="1"/>
    <col min="2" max="2" width="5.85546875" customWidth="1"/>
    <col min="3" max="3" width="18.85546875" customWidth="1"/>
    <col min="4" max="4" width="15.140625" customWidth="1"/>
    <col min="5" max="5" width="34.85546875" customWidth="1"/>
    <col min="8" max="8" width="14.85546875" customWidth="1"/>
    <col min="11" max="11" width="12.5703125" style="191"/>
    <col min="13" max="13" width="12.5703125" style="191"/>
    <col min="15" max="15" width="25" style="191" bestFit="1" customWidth="1"/>
    <col min="16" max="16" width="17.85546875" style="191" bestFit="1" customWidth="1"/>
  </cols>
  <sheetData>
    <row r="1" spans="1:31">
      <c r="A1" s="235" t="s">
        <v>225</v>
      </c>
      <c r="B1" s="183"/>
      <c r="C1" s="30" t="s">
        <v>77</v>
      </c>
      <c r="D1" s="80" t="s">
        <v>78</v>
      </c>
      <c r="E1" s="168" t="s">
        <v>29</v>
      </c>
      <c r="F1" s="168" t="s">
        <v>93</v>
      </c>
      <c r="G1" s="168" t="s">
        <v>94</v>
      </c>
      <c r="H1" s="168" t="s">
        <v>80</v>
      </c>
      <c r="I1" s="168" t="s">
        <v>10</v>
      </c>
      <c r="J1" s="168" t="s">
        <v>9</v>
      </c>
      <c r="K1" s="185" t="s">
        <v>8</v>
      </c>
      <c r="L1" s="168" t="s">
        <v>4</v>
      </c>
      <c r="M1" s="185" t="s">
        <v>5</v>
      </c>
      <c r="N1" s="168" t="s">
        <v>81</v>
      </c>
      <c r="O1" s="185" t="s">
        <v>6</v>
      </c>
      <c r="P1" s="185" t="s">
        <v>7</v>
      </c>
      <c r="Q1" s="168"/>
      <c r="R1" s="168" t="s">
        <v>95</v>
      </c>
      <c r="S1" s="168" t="s">
        <v>96</v>
      </c>
      <c r="T1" s="168" t="s">
        <v>97</v>
      </c>
      <c r="U1" s="168" t="s">
        <v>98</v>
      </c>
    </row>
    <row r="2" spans="1:31">
      <c r="A2" s="236" t="s">
        <v>261</v>
      </c>
      <c r="B2" s="172"/>
      <c r="C2" s="81">
        <v>4</v>
      </c>
      <c r="D2" s="58" t="s">
        <v>82</v>
      </c>
      <c r="E2" s="58" t="s">
        <v>40</v>
      </c>
      <c r="F2" s="58" t="s">
        <v>99</v>
      </c>
      <c r="G2" s="58" t="s">
        <v>100</v>
      </c>
      <c r="H2" s="60">
        <v>0</v>
      </c>
      <c r="I2" s="60">
        <v>0</v>
      </c>
      <c r="J2" s="60">
        <v>0</v>
      </c>
      <c r="K2" s="186">
        <v>0</v>
      </c>
      <c r="L2" s="56">
        <v>0</v>
      </c>
      <c r="M2" s="187">
        <v>0</v>
      </c>
      <c r="N2" s="56">
        <v>0</v>
      </c>
      <c r="O2" s="187">
        <v>0</v>
      </c>
      <c r="P2" s="187">
        <v>0</v>
      </c>
      <c r="Q2" s="56"/>
      <c r="R2" s="82">
        <v>0</v>
      </c>
      <c r="S2" s="83">
        <v>7</v>
      </c>
      <c r="T2" s="83">
        <v>3</v>
      </c>
      <c r="U2" s="83">
        <v>2</v>
      </c>
    </row>
    <row r="3" spans="1:31">
      <c r="B3" s="184"/>
      <c r="C3" s="81"/>
      <c r="D3" s="58" t="s">
        <v>82</v>
      </c>
      <c r="E3" s="58" t="s">
        <v>40</v>
      </c>
      <c r="F3" s="58" t="s">
        <v>101</v>
      </c>
      <c r="G3" s="58" t="s">
        <v>100</v>
      </c>
      <c r="H3" s="60">
        <v>0</v>
      </c>
      <c r="I3" s="60">
        <v>0</v>
      </c>
      <c r="J3" s="60">
        <v>0</v>
      </c>
      <c r="K3" s="186">
        <v>0</v>
      </c>
      <c r="L3" s="56">
        <v>0</v>
      </c>
      <c r="M3" s="187">
        <v>0</v>
      </c>
      <c r="N3" s="56">
        <v>0</v>
      </c>
      <c r="O3" s="187">
        <v>0</v>
      </c>
      <c r="P3" s="187">
        <v>0</v>
      </c>
      <c r="Q3" s="56"/>
      <c r="R3" s="82">
        <v>0</v>
      </c>
      <c r="S3" s="84"/>
      <c r="T3" s="84"/>
      <c r="U3" s="84"/>
    </row>
    <row r="4" spans="1:31">
      <c r="B4" s="184"/>
      <c r="C4" s="81"/>
      <c r="D4" s="58" t="s">
        <v>82</v>
      </c>
      <c r="E4" s="58" t="s">
        <v>50</v>
      </c>
      <c r="F4" s="58" t="s">
        <v>102</v>
      </c>
      <c r="G4" s="58" t="s">
        <v>100</v>
      </c>
      <c r="H4" s="60">
        <v>0</v>
      </c>
      <c r="I4" s="60">
        <v>0</v>
      </c>
      <c r="J4" s="60">
        <v>0</v>
      </c>
      <c r="K4" s="186">
        <v>0</v>
      </c>
      <c r="L4" s="56">
        <v>0</v>
      </c>
      <c r="M4" s="187">
        <v>0</v>
      </c>
      <c r="N4" s="56">
        <v>0</v>
      </c>
      <c r="O4" s="187">
        <v>0</v>
      </c>
      <c r="P4" s="187">
        <v>0</v>
      </c>
      <c r="Q4" s="56"/>
      <c r="R4" s="82">
        <v>0</v>
      </c>
      <c r="S4" s="84"/>
      <c r="T4" s="84"/>
      <c r="U4" s="84"/>
    </row>
    <row r="5" spans="1:31">
      <c r="B5" s="184"/>
      <c r="C5" s="81"/>
      <c r="D5" s="58" t="s">
        <v>82</v>
      </c>
      <c r="E5" s="58" t="s">
        <v>50</v>
      </c>
      <c r="F5" s="58" t="s">
        <v>103</v>
      </c>
      <c r="G5" s="58" t="s">
        <v>100</v>
      </c>
      <c r="H5" s="60">
        <v>0</v>
      </c>
      <c r="I5" s="60">
        <v>0</v>
      </c>
      <c r="J5" s="60">
        <v>0</v>
      </c>
      <c r="K5" s="186">
        <v>0</v>
      </c>
      <c r="L5" s="56">
        <v>0</v>
      </c>
      <c r="M5" s="187">
        <v>0</v>
      </c>
      <c r="N5" s="56">
        <v>0</v>
      </c>
      <c r="O5" s="187">
        <v>0</v>
      </c>
      <c r="P5" s="187">
        <v>0</v>
      </c>
      <c r="Q5" s="56"/>
      <c r="R5" s="82">
        <v>0</v>
      </c>
      <c r="S5" s="84"/>
      <c r="T5" s="84"/>
      <c r="U5" s="84"/>
    </row>
    <row r="6" spans="1:31">
      <c r="B6" s="184"/>
      <c r="C6" s="81"/>
      <c r="D6" s="58" t="s">
        <v>83</v>
      </c>
      <c r="E6" s="58" t="s">
        <v>104</v>
      </c>
      <c r="F6" s="58" t="s">
        <v>105</v>
      </c>
      <c r="G6" s="58" t="s">
        <v>106</v>
      </c>
      <c r="H6" s="60">
        <v>0</v>
      </c>
      <c r="I6" s="60">
        <v>0</v>
      </c>
      <c r="J6" s="60">
        <v>0</v>
      </c>
      <c r="K6" s="186">
        <v>0</v>
      </c>
      <c r="L6" s="56">
        <v>0</v>
      </c>
      <c r="M6" s="187">
        <v>0</v>
      </c>
      <c r="N6" s="56">
        <v>0</v>
      </c>
      <c r="O6" s="187">
        <v>0</v>
      </c>
      <c r="P6" s="187">
        <v>0</v>
      </c>
      <c r="Q6" s="56"/>
      <c r="R6" s="82">
        <v>0</v>
      </c>
      <c r="S6" s="84"/>
      <c r="T6" s="84"/>
      <c r="U6" s="84"/>
    </row>
    <row r="7" spans="1:31">
      <c r="B7" s="184"/>
      <c r="C7" s="81"/>
      <c r="D7" s="58" t="s">
        <v>82</v>
      </c>
      <c r="E7" s="58" t="s">
        <v>107</v>
      </c>
      <c r="F7" s="58" t="s">
        <v>108</v>
      </c>
      <c r="G7" s="58" t="s">
        <v>100</v>
      </c>
      <c r="H7" s="60">
        <v>0</v>
      </c>
      <c r="I7" s="60">
        <v>0</v>
      </c>
      <c r="J7" s="60">
        <v>71</v>
      </c>
      <c r="K7" s="186">
        <v>71</v>
      </c>
      <c r="L7" s="56">
        <v>71</v>
      </c>
      <c r="M7" s="187">
        <v>0</v>
      </c>
      <c r="N7" s="56">
        <v>7</v>
      </c>
      <c r="O7" s="187">
        <v>408</v>
      </c>
      <c r="P7" s="187">
        <v>936</v>
      </c>
      <c r="Q7" s="56"/>
      <c r="R7" s="82">
        <v>0.03</v>
      </c>
      <c r="S7" s="84"/>
      <c r="T7" s="84"/>
      <c r="U7" s="84"/>
    </row>
    <row r="8" spans="1:31">
      <c r="B8" s="184"/>
      <c r="C8" s="81"/>
      <c r="D8" s="58" t="s">
        <v>82</v>
      </c>
      <c r="E8" s="58" t="s">
        <v>109</v>
      </c>
      <c r="F8" s="58" t="s">
        <v>110</v>
      </c>
      <c r="G8" s="58" t="s">
        <v>111</v>
      </c>
      <c r="H8" s="60">
        <v>0</v>
      </c>
      <c r="I8" s="60">
        <v>184</v>
      </c>
      <c r="J8" s="60">
        <v>0</v>
      </c>
      <c r="K8" s="186">
        <v>184</v>
      </c>
      <c r="L8" s="56">
        <v>0</v>
      </c>
      <c r="M8" s="187">
        <v>1020</v>
      </c>
      <c r="N8" s="56">
        <v>3</v>
      </c>
      <c r="O8" s="187">
        <v>199</v>
      </c>
      <c r="P8" s="187">
        <v>1010</v>
      </c>
      <c r="Q8" s="56"/>
      <c r="R8" s="82">
        <v>0.08</v>
      </c>
      <c r="S8" s="84"/>
      <c r="T8" s="84"/>
      <c r="U8" s="84"/>
    </row>
    <row r="9" spans="1:31">
      <c r="B9" s="184"/>
      <c r="C9" s="81"/>
      <c r="D9" s="58" t="s">
        <v>82</v>
      </c>
      <c r="E9" s="58" t="s">
        <v>49</v>
      </c>
      <c r="F9" s="58"/>
      <c r="G9" s="58" t="s">
        <v>112</v>
      </c>
      <c r="H9" s="60">
        <v>658</v>
      </c>
      <c r="I9" s="60">
        <v>6</v>
      </c>
      <c r="J9" s="60">
        <v>45</v>
      </c>
      <c r="K9" s="186">
        <v>51</v>
      </c>
      <c r="L9" s="56">
        <v>451</v>
      </c>
      <c r="M9" s="187">
        <v>34</v>
      </c>
      <c r="N9" s="56">
        <v>5</v>
      </c>
      <c r="O9" s="187">
        <v>261</v>
      </c>
      <c r="P9" s="187">
        <v>618</v>
      </c>
      <c r="Q9" s="56"/>
      <c r="R9" s="82">
        <v>0.02</v>
      </c>
      <c r="S9" s="84"/>
      <c r="T9" s="84"/>
      <c r="U9" s="84"/>
    </row>
    <row r="10" spans="1:31">
      <c r="B10" s="184"/>
      <c r="C10" s="81"/>
      <c r="D10" s="58" t="s">
        <v>82</v>
      </c>
      <c r="E10" s="58" t="s">
        <v>54</v>
      </c>
      <c r="F10" s="58"/>
      <c r="G10" s="58" t="s">
        <v>112</v>
      </c>
      <c r="H10" s="60">
        <v>658</v>
      </c>
      <c r="I10" s="60">
        <v>132</v>
      </c>
      <c r="J10" s="60">
        <v>190</v>
      </c>
      <c r="K10" s="186">
        <v>322</v>
      </c>
      <c r="L10" s="56">
        <v>190</v>
      </c>
      <c r="M10" s="187">
        <v>735</v>
      </c>
      <c r="N10" s="56">
        <v>21</v>
      </c>
      <c r="O10" s="187">
        <v>1229</v>
      </c>
      <c r="P10" s="187">
        <v>3217</v>
      </c>
      <c r="Q10" s="56"/>
      <c r="R10" s="82">
        <v>0.13</v>
      </c>
      <c r="S10" s="84"/>
      <c r="T10" s="84"/>
      <c r="U10" s="84"/>
    </row>
    <row r="11" spans="1:31">
      <c r="B11" s="184"/>
      <c r="C11" s="81"/>
      <c r="D11" s="58" t="s">
        <v>82</v>
      </c>
      <c r="E11" s="58" t="s">
        <v>75</v>
      </c>
      <c r="F11" s="58"/>
      <c r="G11" s="58" t="s">
        <v>112</v>
      </c>
      <c r="H11" s="60">
        <v>2105</v>
      </c>
      <c r="I11" s="60">
        <v>46</v>
      </c>
      <c r="J11" s="60">
        <v>335</v>
      </c>
      <c r="K11" s="186">
        <v>381</v>
      </c>
      <c r="L11" s="56">
        <v>335</v>
      </c>
      <c r="M11" s="187">
        <v>257</v>
      </c>
      <c r="N11" s="56">
        <v>34</v>
      </c>
      <c r="O11" s="187">
        <v>1967</v>
      </c>
      <c r="P11" s="187">
        <v>4651</v>
      </c>
      <c r="Q11" s="56"/>
      <c r="R11" s="82">
        <v>0.16</v>
      </c>
      <c r="S11" s="84"/>
      <c r="T11" s="84"/>
      <c r="U11" s="84"/>
    </row>
    <row r="12" spans="1:31">
      <c r="B12" s="184"/>
      <c r="C12" s="81"/>
      <c r="D12" s="58" t="s">
        <v>83</v>
      </c>
      <c r="E12" s="58" t="s">
        <v>113</v>
      </c>
      <c r="F12" s="58" t="s">
        <v>114</v>
      </c>
      <c r="G12" s="58" t="s">
        <v>112</v>
      </c>
      <c r="H12" s="60">
        <v>0</v>
      </c>
      <c r="I12" s="60">
        <v>0</v>
      </c>
      <c r="J12" s="60">
        <v>0</v>
      </c>
      <c r="K12" s="186">
        <v>0</v>
      </c>
      <c r="L12" s="56">
        <v>0</v>
      </c>
      <c r="M12" s="187">
        <v>0</v>
      </c>
      <c r="N12" s="56">
        <v>0</v>
      </c>
      <c r="O12" s="187">
        <v>0</v>
      </c>
      <c r="P12" s="187">
        <v>0</v>
      </c>
      <c r="Q12" s="56"/>
      <c r="R12" s="82">
        <v>0</v>
      </c>
      <c r="S12" s="84"/>
      <c r="T12" s="84"/>
      <c r="U12" s="84"/>
    </row>
    <row r="13" spans="1:31">
      <c r="B13" s="184"/>
      <c r="C13" s="81"/>
      <c r="D13" s="58" t="s">
        <v>40</v>
      </c>
      <c r="E13" s="58" t="s">
        <v>40</v>
      </c>
      <c r="F13" s="58" t="s">
        <v>115</v>
      </c>
      <c r="G13" s="58" t="s">
        <v>116</v>
      </c>
      <c r="H13" s="60">
        <v>0</v>
      </c>
      <c r="I13" s="60">
        <v>0</v>
      </c>
      <c r="J13" s="60">
        <v>0</v>
      </c>
      <c r="K13" s="186">
        <v>0</v>
      </c>
      <c r="L13" s="56">
        <v>0</v>
      </c>
      <c r="M13" s="187">
        <v>0</v>
      </c>
      <c r="N13" s="56">
        <v>0</v>
      </c>
      <c r="O13" s="187">
        <v>0</v>
      </c>
      <c r="P13" s="187">
        <v>0</v>
      </c>
      <c r="Q13" s="56"/>
      <c r="R13" s="82">
        <v>0</v>
      </c>
      <c r="S13" s="84"/>
      <c r="T13" s="84"/>
      <c r="U13" s="84"/>
    </row>
    <row r="14" spans="1:31">
      <c r="B14" s="85" t="s">
        <v>117</v>
      </c>
      <c r="C14" s="86">
        <v>4</v>
      </c>
      <c r="D14" s="85"/>
      <c r="E14" s="85"/>
      <c r="F14" s="87"/>
      <c r="G14" s="87"/>
      <c r="H14" s="87"/>
      <c r="I14" s="87"/>
      <c r="J14" s="87"/>
      <c r="K14" s="187"/>
      <c r="L14" s="87"/>
      <c r="M14" s="187"/>
      <c r="N14" s="88"/>
      <c r="O14" s="189"/>
      <c r="P14" s="186"/>
      <c r="Q14" s="89"/>
      <c r="R14" s="89"/>
      <c r="S14" s="90"/>
      <c r="T14" s="91"/>
      <c r="U14" s="92"/>
    </row>
    <row r="15" spans="1:31">
      <c r="B15" s="93" t="s">
        <v>118</v>
      </c>
      <c r="C15" s="94">
        <v>12</v>
      </c>
      <c r="D15" s="93"/>
      <c r="E15" s="95"/>
      <c r="F15" s="95"/>
      <c r="G15" s="95"/>
      <c r="H15" s="97">
        <f t="shared" ref="H15:U15" si="0">SUM(H2:H13)</f>
        <v>3421</v>
      </c>
      <c r="I15" s="97">
        <f t="shared" si="0"/>
        <v>368</v>
      </c>
      <c r="J15" s="97">
        <f t="shared" si="0"/>
        <v>641</v>
      </c>
      <c r="K15" s="188">
        <f t="shared" si="0"/>
        <v>1009</v>
      </c>
      <c r="L15" s="95">
        <f t="shared" si="0"/>
        <v>1047</v>
      </c>
      <c r="M15" s="193">
        <f t="shared" si="0"/>
        <v>2046</v>
      </c>
      <c r="N15" s="95">
        <f t="shared" si="0"/>
        <v>70</v>
      </c>
      <c r="O15" s="193">
        <f t="shared" si="0"/>
        <v>4064</v>
      </c>
      <c r="P15" s="193">
        <f t="shared" si="0"/>
        <v>10432</v>
      </c>
      <c r="Q15" s="95"/>
      <c r="R15" s="98">
        <f t="shared" si="0"/>
        <v>0.42000000000000004</v>
      </c>
      <c r="S15" s="95">
        <f t="shared" si="0"/>
        <v>7</v>
      </c>
      <c r="T15" s="95">
        <f t="shared" si="0"/>
        <v>3</v>
      </c>
      <c r="U15" s="95">
        <f t="shared" si="0"/>
        <v>2</v>
      </c>
      <c r="V15" s="99"/>
      <c r="W15" s="99"/>
      <c r="X15" s="99"/>
      <c r="Y15" s="99"/>
      <c r="Z15" s="99"/>
      <c r="AA15" s="99"/>
      <c r="AB15" s="99"/>
      <c r="AC15" s="99"/>
      <c r="AD15" s="99"/>
      <c r="AE15" s="99"/>
    </row>
    <row r="16" spans="1:31">
      <c r="A16" s="236" t="s">
        <v>262</v>
      </c>
      <c r="B16" s="172"/>
      <c r="C16" s="81">
        <v>8</v>
      </c>
      <c r="D16" s="58" t="s">
        <v>83</v>
      </c>
      <c r="E16" s="58" t="s">
        <v>119</v>
      </c>
      <c r="F16" s="58" t="s">
        <v>120</v>
      </c>
      <c r="G16" s="58" t="s">
        <v>121</v>
      </c>
      <c r="H16" s="59">
        <v>0</v>
      </c>
      <c r="I16" s="60">
        <v>0</v>
      </c>
      <c r="J16" s="60">
        <v>0</v>
      </c>
      <c r="K16" s="186">
        <v>0</v>
      </c>
      <c r="L16" s="56">
        <v>0</v>
      </c>
      <c r="M16" s="187">
        <v>0</v>
      </c>
      <c r="N16" s="56">
        <v>0</v>
      </c>
      <c r="O16" s="187">
        <v>0</v>
      </c>
      <c r="P16" s="187">
        <v>0</v>
      </c>
      <c r="Q16" s="56"/>
      <c r="R16" s="82">
        <v>0</v>
      </c>
      <c r="S16" s="100">
        <v>16</v>
      </c>
      <c r="T16" s="100">
        <v>4</v>
      </c>
      <c r="U16" s="100">
        <v>0</v>
      </c>
    </row>
    <row r="17" spans="1:31">
      <c r="B17" s="184"/>
      <c r="C17" s="81"/>
      <c r="D17" s="58" t="s">
        <v>83</v>
      </c>
      <c r="E17" s="58" t="s">
        <v>50</v>
      </c>
      <c r="F17" s="58" t="s">
        <v>122</v>
      </c>
      <c r="G17" s="58" t="s">
        <v>106</v>
      </c>
      <c r="H17" s="59">
        <v>0</v>
      </c>
      <c r="I17" s="60">
        <v>0</v>
      </c>
      <c r="J17" s="60">
        <v>0</v>
      </c>
      <c r="K17" s="186">
        <v>0</v>
      </c>
      <c r="L17" s="56">
        <v>0</v>
      </c>
      <c r="M17" s="187">
        <v>0</v>
      </c>
      <c r="N17" s="56">
        <v>0</v>
      </c>
      <c r="O17" s="187">
        <v>0</v>
      </c>
      <c r="P17" s="187">
        <v>0</v>
      </c>
      <c r="Q17" s="56"/>
      <c r="R17" s="82">
        <v>0</v>
      </c>
      <c r="S17" s="84"/>
      <c r="T17" s="84"/>
      <c r="U17" s="84"/>
    </row>
    <row r="18" spans="1:31">
      <c r="B18" s="184"/>
      <c r="C18" s="81"/>
      <c r="D18" s="58" t="s">
        <v>83</v>
      </c>
      <c r="E18" s="58" t="s">
        <v>74</v>
      </c>
      <c r="F18" s="58" t="s">
        <v>123</v>
      </c>
      <c r="G18" s="58" t="s">
        <v>124</v>
      </c>
      <c r="H18" s="59">
        <v>0</v>
      </c>
      <c r="I18" s="60">
        <v>0</v>
      </c>
      <c r="J18" s="60">
        <v>0</v>
      </c>
      <c r="K18" s="186">
        <v>0</v>
      </c>
      <c r="L18" s="56">
        <v>0</v>
      </c>
      <c r="M18" s="187">
        <v>0</v>
      </c>
      <c r="N18" s="56">
        <v>0</v>
      </c>
      <c r="O18" s="187">
        <v>0</v>
      </c>
      <c r="P18" s="187">
        <v>0</v>
      </c>
      <c r="Q18" s="56"/>
      <c r="R18" s="82">
        <v>0</v>
      </c>
      <c r="S18" s="84"/>
      <c r="T18" s="84"/>
      <c r="U18" s="84"/>
    </row>
    <row r="19" spans="1:31">
      <c r="B19" s="184"/>
      <c r="C19" s="81"/>
      <c r="D19" s="58" t="s">
        <v>82</v>
      </c>
      <c r="E19" s="58" t="s">
        <v>54</v>
      </c>
      <c r="F19" s="58" t="s">
        <v>125</v>
      </c>
      <c r="G19" s="58" t="s">
        <v>124</v>
      </c>
      <c r="H19" s="59">
        <v>1495</v>
      </c>
      <c r="I19" s="60">
        <v>51</v>
      </c>
      <c r="J19" s="60">
        <v>57</v>
      </c>
      <c r="K19" s="186">
        <v>108</v>
      </c>
      <c r="L19" s="56">
        <v>57</v>
      </c>
      <c r="M19" s="187">
        <v>285</v>
      </c>
      <c r="N19" s="56">
        <v>7</v>
      </c>
      <c r="O19" s="187">
        <v>533</v>
      </c>
      <c r="P19" s="187">
        <v>1323</v>
      </c>
      <c r="Q19" s="56"/>
      <c r="R19" s="82">
        <v>0.01</v>
      </c>
      <c r="S19" s="84"/>
      <c r="T19" s="84"/>
      <c r="U19" s="84"/>
    </row>
    <row r="20" spans="1:31">
      <c r="B20" s="184"/>
      <c r="C20" s="81"/>
      <c r="D20" s="58" t="s">
        <v>82</v>
      </c>
      <c r="E20" s="58" t="s">
        <v>61</v>
      </c>
      <c r="F20" s="58"/>
      <c r="G20" s="58" t="s">
        <v>124</v>
      </c>
      <c r="H20" s="59">
        <v>0</v>
      </c>
      <c r="I20" s="60">
        <v>0</v>
      </c>
      <c r="J20" s="60">
        <v>7</v>
      </c>
      <c r="K20" s="186">
        <v>7</v>
      </c>
      <c r="L20" s="56">
        <v>7</v>
      </c>
      <c r="M20" s="187">
        <v>0</v>
      </c>
      <c r="N20" s="56">
        <v>1</v>
      </c>
      <c r="O20" s="187">
        <v>37</v>
      </c>
      <c r="P20" s="187">
        <v>92</v>
      </c>
      <c r="Q20" s="56"/>
      <c r="R20" s="82">
        <v>0</v>
      </c>
      <c r="S20" s="84"/>
      <c r="T20" s="84"/>
      <c r="U20" s="84"/>
    </row>
    <row r="21" spans="1:31">
      <c r="B21" s="184"/>
      <c r="C21" s="81"/>
      <c r="D21" s="58" t="s">
        <v>82</v>
      </c>
      <c r="E21" s="58" t="s">
        <v>49</v>
      </c>
      <c r="F21" s="58" t="s">
        <v>126</v>
      </c>
      <c r="G21" s="58" t="s">
        <v>124</v>
      </c>
      <c r="H21" s="59">
        <v>1495</v>
      </c>
      <c r="I21" s="60">
        <v>26</v>
      </c>
      <c r="J21" s="60">
        <v>191</v>
      </c>
      <c r="K21" s="186">
        <v>217</v>
      </c>
      <c r="L21" s="56">
        <v>191</v>
      </c>
      <c r="M21" s="187">
        <v>143</v>
      </c>
      <c r="N21" s="56">
        <v>20</v>
      </c>
      <c r="O21" s="187">
        <v>1127</v>
      </c>
      <c r="P21" s="187">
        <v>2796</v>
      </c>
      <c r="Q21" s="56"/>
      <c r="R21" s="82">
        <v>0.02</v>
      </c>
      <c r="S21" s="84"/>
      <c r="T21" s="84"/>
      <c r="U21" s="84"/>
    </row>
    <row r="22" spans="1:31">
      <c r="B22" s="184"/>
      <c r="C22" s="81"/>
      <c r="D22" s="58" t="s">
        <v>82</v>
      </c>
      <c r="E22" s="58" t="s">
        <v>127</v>
      </c>
      <c r="F22" s="58" t="s">
        <v>128</v>
      </c>
      <c r="G22" s="58" t="s">
        <v>129</v>
      </c>
      <c r="H22" s="59">
        <v>0</v>
      </c>
      <c r="I22" s="60">
        <v>113</v>
      </c>
      <c r="J22" s="60">
        <v>838</v>
      </c>
      <c r="K22" s="186">
        <v>951</v>
      </c>
      <c r="L22" s="56">
        <v>838</v>
      </c>
      <c r="M22" s="187">
        <v>625</v>
      </c>
      <c r="N22" s="56">
        <v>86</v>
      </c>
      <c r="O22" s="187">
        <v>4944</v>
      </c>
      <c r="P22" s="187">
        <v>12261</v>
      </c>
      <c r="Q22" s="56"/>
      <c r="R22" s="82">
        <v>0.1</v>
      </c>
      <c r="S22" s="84"/>
      <c r="T22" s="84"/>
      <c r="U22" s="84"/>
    </row>
    <row r="23" spans="1:31">
      <c r="B23" s="101" t="s">
        <v>117</v>
      </c>
      <c r="C23" s="102">
        <v>8</v>
      </c>
      <c r="D23" s="92"/>
      <c r="E23" s="92"/>
      <c r="F23" s="92"/>
      <c r="G23" s="92"/>
      <c r="H23" s="92"/>
      <c r="I23" s="92"/>
      <c r="J23" s="92"/>
      <c r="K23" s="190"/>
      <c r="L23" s="92"/>
      <c r="M23" s="190"/>
      <c r="N23" s="103"/>
      <c r="O23" s="194"/>
      <c r="P23" s="195"/>
      <c r="Q23" s="91"/>
      <c r="R23" s="91"/>
      <c r="S23" s="90"/>
      <c r="T23" s="91"/>
      <c r="U23" s="92"/>
      <c r="V23" s="84"/>
      <c r="W23" s="84"/>
      <c r="X23" s="84"/>
      <c r="Y23" s="84"/>
      <c r="Z23" s="84"/>
      <c r="AA23" s="84"/>
      <c r="AB23" s="84"/>
      <c r="AC23" s="84"/>
      <c r="AD23" s="84"/>
      <c r="AE23" s="84"/>
    </row>
    <row r="24" spans="1:31">
      <c r="B24" s="93" t="s">
        <v>118</v>
      </c>
      <c r="C24" s="94">
        <v>7</v>
      </c>
      <c r="D24" s="93"/>
      <c r="E24" s="95"/>
      <c r="F24" s="95"/>
      <c r="G24" s="95"/>
      <c r="H24" s="96">
        <f t="shared" ref="H24:U24" si="1">SUM(H16:H22)</f>
        <v>2990</v>
      </c>
      <c r="I24" s="97">
        <f t="shared" si="1"/>
        <v>190</v>
      </c>
      <c r="J24" s="97">
        <f t="shared" si="1"/>
        <v>1093</v>
      </c>
      <c r="K24" s="188">
        <f t="shared" si="1"/>
        <v>1283</v>
      </c>
      <c r="L24" s="95">
        <f t="shared" si="1"/>
        <v>1093</v>
      </c>
      <c r="M24" s="193">
        <f t="shared" si="1"/>
        <v>1053</v>
      </c>
      <c r="N24" s="95">
        <f t="shared" si="1"/>
        <v>114</v>
      </c>
      <c r="O24" s="193">
        <f t="shared" si="1"/>
        <v>6641</v>
      </c>
      <c r="P24" s="193">
        <f t="shared" si="1"/>
        <v>16472</v>
      </c>
      <c r="Q24" s="95"/>
      <c r="R24" s="98">
        <f t="shared" si="1"/>
        <v>0.13</v>
      </c>
      <c r="S24" s="95">
        <f t="shared" si="1"/>
        <v>16</v>
      </c>
      <c r="T24" s="95">
        <f t="shared" si="1"/>
        <v>4</v>
      </c>
      <c r="U24" s="95">
        <f t="shared" si="1"/>
        <v>0</v>
      </c>
      <c r="V24" s="99"/>
      <c r="W24" s="99"/>
      <c r="X24" s="99"/>
      <c r="Y24" s="99"/>
      <c r="Z24" s="99"/>
      <c r="AA24" s="99"/>
      <c r="AB24" s="99"/>
      <c r="AC24" s="99"/>
      <c r="AD24" s="99"/>
      <c r="AE24" s="99"/>
    </row>
    <row r="25" spans="1:31">
      <c r="A25" s="236" t="s">
        <v>263</v>
      </c>
      <c r="B25" s="172"/>
      <c r="C25" s="81">
        <v>2</v>
      </c>
      <c r="D25" s="58" t="s">
        <v>130</v>
      </c>
      <c r="E25" s="58" t="s">
        <v>131</v>
      </c>
      <c r="F25" s="58" t="s">
        <v>132</v>
      </c>
      <c r="G25" s="58" t="s">
        <v>133</v>
      </c>
      <c r="H25" s="59">
        <v>0</v>
      </c>
      <c r="I25" s="60">
        <v>81</v>
      </c>
      <c r="J25" s="60">
        <v>0</v>
      </c>
      <c r="K25" s="186">
        <v>81</v>
      </c>
      <c r="L25" s="56">
        <v>81</v>
      </c>
      <c r="M25" s="187">
        <v>0</v>
      </c>
      <c r="N25" s="56">
        <v>8</v>
      </c>
      <c r="O25" s="187">
        <v>463</v>
      </c>
      <c r="P25" s="187">
        <v>1149</v>
      </c>
      <c r="Q25" s="56"/>
      <c r="R25" s="82">
        <v>0.03</v>
      </c>
      <c r="S25" s="100">
        <v>2</v>
      </c>
      <c r="T25" s="100">
        <v>0</v>
      </c>
      <c r="U25" s="100">
        <v>0</v>
      </c>
    </row>
    <row r="26" spans="1:31">
      <c r="B26" s="33"/>
      <c r="C26" s="81"/>
      <c r="D26" s="58" t="s">
        <v>130</v>
      </c>
      <c r="E26" s="58" t="s">
        <v>30</v>
      </c>
      <c r="F26" s="58" t="s">
        <v>134</v>
      </c>
      <c r="G26" s="58" t="s">
        <v>124</v>
      </c>
      <c r="H26" s="59">
        <v>450</v>
      </c>
      <c r="I26" s="60">
        <v>454</v>
      </c>
      <c r="J26" s="60">
        <v>0</v>
      </c>
      <c r="K26" s="186">
        <v>454</v>
      </c>
      <c r="L26" s="56">
        <v>454</v>
      </c>
      <c r="M26" s="187">
        <v>0</v>
      </c>
      <c r="N26" s="56">
        <v>45</v>
      </c>
      <c r="O26" s="187">
        <v>2404</v>
      </c>
      <c r="P26" s="187">
        <v>5962</v>
      </c>
      <c r="Q26" s="56"/>
      <c r="R26" s="82">
        <v>0.16</v>
      </c>
      <c r="S26" s="84"/>
      <c r="T26" s="84"/>
      <c r="U26" s="84"/>
    </row>
    <row r="27" spans="1:31">
      <c r="B27" s="33"/>
      <c r="C27" s="81"/>
      <c r="D27" s="58" t="s">
        <v>40</v>
      </c>
      <c r="E27" s="58" t="s">
        <v>73</v>
      </c>
      <c r="F27" s="58" t="s">
        <v>135</v>
      </c>
      <c r="G27" s="58" t="s">
        <v>136</v>
      </c>
      <c r="H27" s="59">
        <v>0</v>
      </c>
      <c r="I27" s="60">
        <v>0</v>
      </c>
      <c r="J27" s="60">
        <v>0</v>
      </c>
      <c r="K27" s="186">
        <v>0</v>
      </c>
      <c r="L27" s="56">
        <v>0</v>
      </c>
      <c r="M27" s="187">
        <v>0</v>
      </c>
      <c r="N27" s="56">
        <v>0</v>
      </c>
      <c r="O27" s="187">
        <v>0</v>
      </c>
      <c r="P27" s="187">
        <v>0</v>
      </c>
      <c r="Q27" s="56"/>
      <c r="R27" s="82">
        <v>0</v>
      </c>
      <c r="S27" s="84"/>
      <c r="T27" s="84"/>
      <c r="U27" s="84"/>
    </row>
    <row r="28" spans="1:31">
      <c r="B28" s="184"/>
      <c r="C28" s="81"/>
      <c r="D28" s="58" t="s">
        <v>130</v>
      </c>
      <c r="E28" s="58" t="s">
        <v>45</v>
      </c>
      <c r="F28" s="58"/>
      <c r="G28" s="58" t="s">
        <v>124</v>
      </c>
      <c r="H28" s="59">
        <v>675</v>
      </c>
      <c r="I28" s="60">
        <v>98</v>
      </c>
      <c r="J28" s="60">
        <v>0</v>
      </c>
      <c r="K28" s="186">
        <v>98</v>
      </c>
      <c r="L28" s="56">
        <v>98</v>
      </c>
      <c r="M28" s="187">
        <v>0</v>
      </c>
      <c r="N28" s="56">
        <v>10</v>
      </c>
      <c r="O28" s="187">
        <v>520</v>
      </c>
      <c r="P28" s="187">
        <v>1290</v>
      </c>
      <c r="Q28" s="56"/>
      <c r="R28" s="82">
        <v>0.03</v>
      </c>
      <c r="S28" s="84"/>
      <c r="T28" s="84"/>
      <c r="U28" s="84"/>
    </row>
    <row r="29" spans="1:31">
      <c r="B29" s="104"/>
      <c r="C29" s="102"/>
      <c r="D29" s="105" t="s">
        <v>130</v>
      </c>
      <c r="E29" s="58" t="s">
        <v>49</v>
      </c>
      <c r="F29" s="58" t="s">
        <v>137</v>
      </c>
      <c r="G29" s="58" t="s">
        <v>124</v>
      </c>
      <c r="H29" s="59">
        <v>525</v>
      </c>
      <c r="I29" s="59">
        <v>29</v>
      </c>
      <c r="J29" s="59">
        <v>0</v>
      </c>
      <c r="K29" s="189">
        <v>29</v>
      </c>
      <c r="L29" s="56">
        <v>29</v>
      </c>
      <c r="M29" s="187">
        <v>0</v>
      </c>
      <c r="N29" s="56">
        <v>3</v>
      </c>
      <c r="O29" s="187">
        <v>152</v>
      </c>
      <c r="P29" s="187">
        <v>376</v>
      </c>
      <c r="Q29" s="56"/>
      <c r="R29" s="82">
        <v>0.01</v>
      </c>
      <c r="S29" s="106"/>
      <c r="T29" s="107"/>
      <c r="U29" s="108"/>
      <c r="V29" s="84"/>
      <c r="W29" s="84"/>
      <c r="X29" s="84"/>
      <c r="Y29" s="84"/>
      <c r="Z29" s="84"/>
      <c r="AA29" s="84"/>
      <c r="AB29" s="84"/>
      <c r="AC29" s="84"/>
      <c r="AD29" s="84"/>
      <c r="AE29" s="84"/>
    </row>
    <row r="30" spans="1:31">
      <c r="B30" s="104"/>
      <c r="C30" s="102"/>
      <c r="D30" s="105" t="s">
        <v>83</v>
      </c>
      <c r="E30" s="58" t="s">
        <v>74</v>
      </c>
      <c r="F30" s="58" t="s">
        <v>138</v>
      </c>
      <c r="G30" s="58" t="s">
        <v>124</v>
      </c>
      <c r="H30" s="59">
        <v>0</v>
      </c>
      <c r="I30" s="59">
        <v>0</v>
      </c>
      <c r="J30" s="59">
        <v>0</v>
      </c>
      <c r="K30" s="189">
        <v>0</v>
      </c>
      <c r="L30" s="56">
        <v>0</v>
      </c>
      <c r="M30" s="187">
        <v>0</v>
      </c>
      <c r="N30" s="56">
        <v>0</v>
      </c>
      <c r="O30" s="187">
        <v>0</v>
      </c>
      <c r="P30" s="187">
        <v>0</v>
      </c>
      <c r="Q30" s="56"/>
      <c r="R30" s="82">
        <v>0</v>
      </c>
      <c r="S30" s="106"/>
      <c r="T30" s="107"/>
      <c r="U30" s="108"/>
      <c r="V30" s="84"/>
      <c r="W30" s="84"/>
      <c r="X30" s="84"/>
      <c r="Y30" s="84"/>
      <c r="Z30" s="84"/>
      <c r="AA30" s="84"/>
      <c r="AB30" s="84"/>
      <c r="AC30" s="84"/>
      <c r="AD30" s="84"/>
      <c r="AE30" s="84"/>
    </row>
    <row r="31" spans="1:31">
      <c r="B31" s="101" t="s">
        <v>117</v>
      </c>
      <c r="C31" s="102">
        <v>2</v>
      </c>
      <c r="D31" s="92"/>
      <c r="E31" s="92"/>
      <c r="F31" s="92"/>
      <c r="G31" s="92"/>
      <c r="H31" s="92"/>
      <c r="I31" s="92"/>
      <c r="J31" s="92"/>
      <c r="K31" s="190"/>
      <c r="L31" s="92"/>
      <c r="M31" s="190"/>
      <c r="N31" s="103"/>
      <c r="O31" s="194"/>
      <c r="P31" s="195"/>
      <c r="Q31" s="91"/>
      <c r="R31" s="91"/>
      <c r="S31" s="90"/>
      <c r="T31" s="91"/>
      <c r="U31" s="92"/>
      <c r="V31" s="84"/>
      <c r="W31" s="84"/>
      <c r="X31" s="84"/>
      <c r="Y31" s="84"/>
      <c r="Z31" s="84"/>
      <c r="AA31" s="84"/>
      <c r="AB31" s="84"/>
      <c r="AC31" s="84"/>
      <c r="AD31" s="84"/>
      <c r="AE31" s="84"/>
    </row>
    <row r="32" spans="1:31">
      <c r="B32" s="93" t="s">
        <v>118</v>
      </c>
      <c r="C32" s="94">
        <v>6</v>
      </c>
      <c r="D32" s="93"/>
      <c r="E32" s="95"/>
      <c r="F32" s="95"/>
      <c r="G32" s="95"/>
      <c r="H32" s="96">
        <f t="shared" ref="H32:R32" si="2">SUM(H25:H30)</f>
        <v>1650</v>
      </c>
      <c r="I32" s="97">
        <f t="shared" si="2"/>
        <v>662</v>
      </c>
      <c r="J32" s="97">
        <f t="shared" si="2"/>
        <v>0</v>
      </c>
      <c r="K32" s="188">
        <f t="shared" si="2"/>
        <v>662</v>
      </c>
      <c r="L32" s="95">
        <f t="shared" si="2"/>
        <v>662</v>
      </c>
      <c r="M32" s="193">
        <f t="shared" si="2"/>
        <v>0</v>
      </c>
      <c r="N32" s="95">
        <f t="shared" si="2"/>
        <v>66</v>
      </c>
      <c r="O32" s="193">
        <f t="shared" si="2"/>
        <v>3539</v>
      </c>
      <c r="P32" s="193">
        <f t="shared" si="2"/>
        <v>8777</v>
      </c>
      <c r="Q32" s="95"/>
      <c r="R32" s="98">
        <f t="shared" si="2"/>
        <v>0.23</v>
      </c>
      <c r="S32" s="95">
        <f t="shared" ref="S32:U32" si="3">SUM(S25:S28)</f>
        <v>2</v>
      </c>
      <c r="T32" s="95">
        <f t="shared" si="3"/>
        <v>0</v>
      </c>
      <c r="U32" s="95">
        <f t="shared" si="3"/>
        <v>0</v>
      </c>
      <c r="V32" s="99"/>
      <c r="W32" s="99"/>
      <c r="X32" s="99"/>
      <c r="Y32" s="99"/>
      <c r="Z32" s="99"/>
      <c r="AA32" s="99"/>
      <c r="AB32" s="99"/>
      <c r="AC32" s="99"/>
      <c r="AD32" s="99"/>
      <c r="AE32" s="99"/>
    </row>
    <row r="33" spans="1:31">
      <c r="A33" s="236" t="s">
        <v>264</v>
      </c>
      <c r="B33" s="172"/>
      <c r="C33" s="81">
        <v>2</v>
      </c>
      <c r="D33" s="58" t="s">
        <v>130</v>
      </c>
      <c r="E33" s="58" t="s">
        <v>127</v>
      </c>
      <c r="F33" s="58" t="s">
        <v>139</v>
      </c>
      <c r="G33" s="58" t="s">
        <v>129</v>
      </c>
      <c r="H33" s="59">
        <v>0</v>
      </c>
      <c r="I33" s="60">
        <v>283</v>
      </c>
      <c r="J33" s="60">
        <v>0</v>
      </c>
      <c r="K33" s="186">
        <v>283</v>
      </c>
      <c r="L33" s="56">
        <v>245</v>
      </c>
      <c r="M33" s="187">
        <v>207</v>
      </c>
      <c r="N33" s="56">
        <v>25</v>
      </c>
      <c r="O33" s="187">
        <v>1467</v>
      </c>
      <c r="P33" s="187">
        <v>3639</v>
      </c>
      <c r="Q33" s="56"/>
      <c r="R33" s="82">
        <v>0.1</v>
      </c>
      <c r="S33" s="100">
        <v>4</v>
      </c>
      <c r="T33" s="100">
        <v>0</v>
      </c>
      <c r="U33" s="100">
        <v>0</v>
      </c>
    </row>
    <row r="34" spans="1:31">
      <c r="B34" s="101" t="s">
        <v>117</v>
      </c>
      <c r="C34" s="102">
        <v>2</v>
      </c>
      <c r="D34" s="92"/>
      <c r="E34" s="92"/>
      <c r="F34" s="92"/>
      <c r="G34" s="92"/>
      <c r="H34" s="92"/>
      <c r="I34" s="92"/>
      <c r="J34" s="92"/>
      <c r="K34" s="190"/>
      <c r="L34" s="92"/>
      <c r="M34" s="190"/>
      <c r="N34" s="103"/>
      <c r="O34" s="194"/>
      <c r="P34" s="195"/>
      <c r="Q34" s="91"/>
      <c r="R34" s="91"/>
      <c r="S34" s="90"/>
      <c r="T34" s="91"/>
      <c r="U34" s="92"/>
      <c r="V34" s="84"/>
      <c r="W34" s="84"/>
      <c r="X34" s="84"/>
      <c r="Y34" s="84"/>
      <c r="Z34" s="84"/>
      <c r="AA34" s="84"/>
      <c r="AB34" s="84"/>
      <c r="AC34" s="84"/>
      <c r="AD34" s="84"/>
      <c r="AE34" s="84"/>
    </row>
    <row r="35" spans="1:31">
      <c r="B35" s="93" t="s">
        <v>118</v>
      </c>
      <c r="C35" s="94">
        <v>1</v>
      </c>
      <c r="D35" s="93"/>
      <c r="E35" s="95"/>
      <c r="F35" s="95"/>
      <c r="G35" s="95"/>
      <c r="H35" s="96">
        <f t="shared" ref="H35:U35" si="4">H33</f>
        <v>0</v>
      </c>
      <c r="I35" s="97">
        <f t="shared" si="4"/>
        <v>283</v>
      </c>
      <c r="J35" s="97">
        <f t="shared" si="4"/>
        <v>0</v>
      </c>
      <c r="K35" s="188">
        <f t="shared" si="4"/>
        <v>283</v>
      </c>
      <c r="L35" s="95">
        <f t="shared" si="4"/>
        <v>245</v>
      </c>
      <c r="M35" s="193">
        <f t="shared" si="4"/>
        <v>207</v>
      </c>
      <c r="N35" s="95">
        <f t="shared" si="4"/>
        <v>25</v>
      </c>
      <c r="O35" s="193">
        <f t="shared" si="4"/>
        <v>1467</v>
      </c>
      <c r="P35" s="193">
        <f t="shared" si="4"/>
        <v>3639</v>
      </c>
      <c r="Q35" s="95"/>
      <c r="R35" s="98">
        <f t="shared" si="4"/>
        <v>0.1</v>
      </c>
      <c r="S35" s="95">
        <f t="shared" si="4"/>
        <v>4</v>
      </c>
      <c r="T35" s="95">
        <f t="shared" si="4"/>
        <v>0</v>
      </c>
      <c r="U35" s="95">
        <f t="shared" si="4"/>
        <v>0</v>
      </c>
      <c r="V35" s="99"/>
      <c r="W35" s="99"/>
      <c r="X35" s="99"/>
      <c r="Y35" s="99"/>
      <c r="Z35" s="99"/>
      <c r="AA35" s="99"/>
      <c r="AB35" s="99"/>
      <c r="AC35" s="99"/>
      <c r="AD35" s="99"/>
      <c r="AE35" s="99"/>
    </row>
    <row r="36" spans="1:31">
      <c r="A36" s="236" t="s">
        <v>265</v>
      </c>
      <c r="B36" s="172"/>
      <c r="C36" s="81">
        <v>2</v>
      </c>
      <c r="D36" s="105" t="s">
        <v>83</v>
      </c>
      <c r="E36" s="58" t="s">
        <v>140</v>
      </c>
      <c r="F36" s="58" t="s">
        <v>141</v>
      </c>
      <c r="G36" s="58" t="s">
        <v>106</v>
      </c>
      <c r="H36" s="59">
        <v>0</v>
      </c>
      <c r="I36" s="60">
        <v>0</v>
      </c>
      <c r="J36" s="60">
        <v>0</v>
      </c>
      <c r="K36" s="186">
        <v>0</v>
      </c>
      <c r="L36" s="56">
        <v>0</v>
      </c>
      <c r="M36" s="187">
        <v>0</v>
      </c>
      <c r="N36" s="56">
        <v>0</v>
      </c>
      <c r="O36" s="187">
        <v>0</v>
      </c>
      <c r="P36" s="187">
        <v>0</v>
      </c>
      <c r="Q36" s="56"/>
      <c r="R36" s="82">
        <v>0</v>
      </c>
      <c r="S36" s="100">
        <v>8</v>
      </c>
      <c r="T36" s="100">
        <v>4</v>
      </c>
      <c r="U36" s="100">
        <v>0</v>
      </c>
    </row>
    <row r="37" spans="1:31">
      <c r="B37" s="184"/>
      <c r="C37" s="81">
        <v>2</v>
      </c>
      <c r="D37" s="105" t="s">
        <v>83</v>
      </c>
      <c r="E37" s="58" t="s">
        <v>140</v>
      </c>
      <c r="F37" s="58" t="s">
        <v>142</v>
      </c>
      <c r="G37" s="58" t="s">
        <v>143</v>
      </c>
      <c r="H37" s="59">
        <v>0</v>
      </c>
      <c r="I37" s="60">
        <v>0</v>
      </c>
      <c r="J37" s="60">
        <v>0</v>
      </c>
      <c r="K37" s="186">
        <v>0</v>
      </c>
      <c r="L37" s="56">
        <v>0</v>
      </c>
      <c r="M37" s="187">
        <v>0</v>
      </c>
      <c r="N37" s="56">
        <v>0</v>
      </c>
      <c r="O37" s="187">
        <v>0</v>
      </c>
      <c r="P37" s="187">
        <v>0</v>
      </c>
      <c r="Q37" s="56"/>
      <c r="R37" s="82">
        <v>0</v>
      </c>
      <c r="S37" s="84"/>
      <c r="T37" s="84"/>
      <c r="U37" s="84"/>
    </row>
    <row r="38" spans="1:31">
      <c r="B38" s="101" t="s">
        <v>117</v>
      </c>
      <c r="C38" s="102">
        <v>2</v>
      </c>
      <c r="D38" s="92"/>
      <c r="E38" s="92"/>
      <c r="F38" s="92"/>
      <c r="G38" s="92"/>
      <c r="H38" s="92"/>
      <c r="I38" s="92"/>
      <c r="J38" s="92"/>
      <c r="K38" s="195"/>
      <c r="L38" s="92"/>
      <c r="M38" s="190"/>
      <c r="N38" s="103"/>
      <c r="O38" s="194"/>
      <c r="P38" s="195"/>
      <c r="Q38" s="91"/>
      <c r="R38" s="91"/>
      <c r="S38" s="90"/>
      <c r="T38" s="91"/>
      <c r="U38" s="92"/>
      <c r="V38" s="84"/>
      <c r="W38" s="84"/>
      <c r="X38" s="84"/>
      <c r="Y38" s="84"/>
      <c r="Z38" s="84"/>
      <c r="AA38" s="84"/>
      <c r="AB38" s="84"/>
      <c r="AC38" s="84"/>
      <c r="AD38" s="84"/>
      <c r="AE38" s="84"/>
    </row>
    <row r="39" spans="1:31">
      <c r="B39" s="93" t="s">
        <v>118</v>
      </c>
      <c r="C39" s="94">
        <v>2</v>
      </c>
      <c r="D39" s="93"/>
      <c r="E39" s="95"/>
      <c r="F39" s="95"/>
      <c r="G39" s="95"/>
      <c r="H39" s="96">
        <f t="shared" ref="H39:U39" si="5">SUM(H36:H37)</f>
        <v>0</v>
      </c>
      <c r="I39" s="97">
        <f t="shared" si="5"/>
        <v>0</v>
      </c>
      <c r="J39" s="97">
        <f t="shared" si="5"/>
        <v>0</v>
      </c>
      <c r="K39" s="188">
        <f t="shared" si="5"/>
        <v>0</v>
      </c>
      <c r="L39" s="95">
        <f t="shared" si="5"/>
        <v>0</v>
      </c>
      <c r="M39" s="193">
        <f t="shared" si="5"/>
        <v>0</v>
      </c>
      <c r="N39" s="95">
        <f t="shared" si="5"/>
        <v>0</v>
      </c>
      <c r="O39" s="193">
        <f t="shared" si="5"/>
        <v>0</v>
      </c>
      <c r="P39" s="193">
        <f t="shared" si="5"/>
        <v>0</v>
      </c>
      <c r="Q39" s="95"/>
      <c r="R39" s="98">
        <f t="shared" si="5"/>
        <v>0</v>
      </c>
      <c r="S39" s="95">
        <f t="shared" si="5"/>
        <v>8</v>
      </c>
      <c r="T39" s="95">
        <f t="shared" si="5"/>
        <v>4</v>
      </c>
      <c r="U39" s="95">
        <f t="shared" si="5"/>
        <v>0</v>
      </c>
      <c r="V39" s="99"/>
      <c r="W39" s="99"/>
      <c r="X39" s="99"/>
      <c r="Y39" s="99"/>
      <c r="Z39" s="99"/>
      <c r="AA39" s="99"/>
      <c r="AB39" s="99"/>
      <c r="AC39" s="99"/>
      <c r="AD39" s="99"/>
      <c r="AE39" s="99"/>
    </row>
    <row r="40" spans="1:31">
      <c r="A40" s="236" t="s">
        <v>266</v>
      </c>
      <c r="B40" s="172"/>
      <c r="C40" s="81">
        <v>10</v>
      </c>
      <c r="D40" s="58" t="s">
        <v>130</v>
      </c>
      <c r="E40" s="58" t="s">
        <v>144</v>
      </c>
      <c r="F40" s="58" t="s">
        <v>145</v>
      </c>
      <c r="G40" s="58" t="s">
        <v>146</v>
      </c>
      <c r="H40" s="59">
        <v>0</v>
      </c>
      <c r="I40" s="60">
        <v>53</v>
      </c>
      <c r="J40" s="60">
        <v>398</v>
      </c>
      <c r="K40" s="186">
        <v>451</v>
      </c>
      <c r="L40" s="56">
        <v>398</v>
      </c>
      <c r="M40" s="187">
        <v>297</v>
      </c>
      <c r="N40" s="56">
        <v>41</v>
      </c>
      <c r="O40" s="187">
        <v>2346</v>
      </c>
      <c r="P40" s="187">
        <v>5818</v>
      </c>
      <c r="Q40" s="56"/>
      <c r="R40" s="82">
        <v>0.06</v>
      </c>
      <c r="S40" s="100">
        <v>0</v>
      </c>
      <c r="T40" s="100">
        <v>0</v>
      </c>
      <c r="U40" s="100">
        <v>0</v>
      </c>
    </row>
    <row r="41" spans="1:31">
      <c r="B41" s="184"/>
      <c r="C41" s="81"/>
      <c r="D41" s="58" t="s">
        <v>130</v>
      </c>
      <c r="E41" s="58" t="s">
        <v>56</v>
      </c>
      <c r="F41" s="58"/>
      <c r="G41" s="58" t="s">
        <v>124</v>
      </c>
      <c r="H41" s="59">
        <v>1066</v>
      </c>
      <c r="I41" s="60">
        <v>16</v>
      </c>
      <c r="J41" s="60">
        <v>113</v>
      </c>
      <c r="K41" s="186">
        <v>129</v>
      </c>
      <c r="L41" s="56">
        <v>113</v>
      </c>
      <c r="M41" s="187">
        <v>86</v>
      </c>
      <c r="N41" s="56">
        <v>12</v>
      </c>
      <c r="O41" s="187">
        <v>663</v>
      </c>
      <c r="P41" s="187">
        <v>1658</v>
      </c>
      <c r="Q41" s="56"/>
      <c r="R41" s="82">
        <v>0.02</v>
      </c>
      <c r="S41" s="84"/>
      <c r="T41" s="84"/>
      <c r="U41" s="84"/>
    </row>
    <row r="42" spans="1:31">
      <c r="B42" s="184"/>
      <c r="C42" s="81"/>
      <c r="D42" s="58" t="s">
        <v>83</v>
      </c>
      <c r="E42" s="58" t="s">
        <v>74</v>
      </c>
      <c r="F42" s="58" t="s">
        <v>147</v>
      </c>
      <c r="G42" s="58" t="s">
        <v>124</v>
      </c>
      <c r="H42" s="59">
        <v>0</v>
      </c>
      <c r="I42" s="60">
        <v>0</v>
      </c>
      <c r="J42" s="60">
        <v>0</v>
      </c>
      <c r="K42" s="186">
        <v>0</v>
      </c>
      <c r="L42" s="56">
        <v>0</v>
      </c>
      <c r="M42" s="187">
        <v>0</v>
      </c>
      <c r="N42" s="56">
        <v>0</v>
      </c>
      <c r="O42" s="187">
        <v>0</v>
      </c>
      <c r="P42" s="187">
        <v>0</v>
      </c>
      <c r="Q42" s="56"/>
      <c r="R42" s="82">
        <v>0</v>
      </c>
      <c r="S42" s="84"/>
      <c r="T42" s="84"/>
      <c r="U42" s="84"/>
    </row>
    <row r="43" spans="1:31">
      <c r="B43" s="184"/>
      <c r="C43" s="81"/>
      <c r="D43" s="58" t="s">
        <v>130</v>
      </c>
      <c r="E43" s="58" t="s">
        <v>54</v>
      </c>
      <c r="F43" s="58" t="s">
        <v>148</v>
      </c>
      <c r="G43" s="58" t="s">
        <v>124</v>
      </c>
      <c r="H43" s="59">
        <v>1066</v>
      </c>
      <c r="I43" s="60">
        <v>65</v>
      </c>
      <c r="J43" s="60">
        <v>70</v>
      </c>
      <c r="K43" s="186">
        <v>135</v>
      </c>
      <c r="L43" s="56">
        <v>70</v>
      </c>
      <c r="M43" s="187">
        <v>361</v>
      </c>
      <c r="N43" s="56">
        <v>8</v>
      </c>
      <c r="O43" s="187">
        <v>666</v>
      </c>
      <c r="P43" s="187">
        <v>1652</v>
      </c>
      <c r="Q43" s="56"/>
      <c r="R43" s="82">
        <v>0.01</v>
      </c>
      <c r="S43" s="84"/>
      <c r="T43" s="84"/>
      <c r="U43" s="84"/>
    </row>
    <row r="44" spans="1:31">
      <c r="B44" s="101" t="s">
        <v>117</v>
      </c>
      <c r="C44" s="102">
        <v>10</v>
      </c>
      <c r="D44" s="92"/>
      <c r="E44" s="92"/>
      <c r="F44" s="92"/>
      <c r="G44" s="92"/>
      <c r="H44" s="92"/>
      <c r="I44" s="92"/>
      <c r="J44" s="92"/>
      <c r="K44" s="190"/>
      <c r="L44" s="92"/>
      <c r="M44" s="190"/>
      <c r="N44" s="103"/>
      <c r="O44" s="194"/>
      <c r="P44" s="195"/>
      <c r="Q44" s="91"/>
      <c r="R44" s="91"/>
      <c r="S44" s="90"/>
      <c r="T44" s="91"/>
      <c r="U44" s="92"/>
      <c r="V44" s="84"/>
      <c r="W44" s="84"/>
      <c r="X44" s="84"/>
      <c r="Y44" s="84"/>
      <c r="Z44" s="84"/>
      <c r="AA44" s="84"/>
      <c r="AB44" s="84"/>
      <c r="AC44" s="84"/>
      <c r="AD44" s="84"/>
      <c r="AE44" s="84"/>
    </row>
    <row r="45" spans="1:31">
      <c r="B45" s="93" t="s">
        <v>118</v>
      </c>
      <c r="C45" s="94">
        <v>4</v>
      </c>
      <c r="D45" s="93"/>
      <c r="E45" s="95"/>
      <c r="F45" s="95"/>
      <c r="G45" s="95"/>
      <c r="H45" s="96">
        <f t="shared" ref="H45:U45" si="6">SUM(H40:H43)</f>
        <v>2132</v>
      </c>
      <c r="I45" s="97">
        <f t="shared" si="6"/>
        <v>134</v>
      </c>
      <c r="J45" s="97">
        <f t="shared" si="6"/>
        <v>581</v>
      </c>
      <c r="K45" s="188">
        <f t="shared" si="6"/>
        <v>715</v>
      </c>
      <c r="L45" s="95">
        <f t="shared" si="6"/>
        <v>581</v>
      </c>
      <c r="M45" s="193">
        <f t="shared" si="6"/>
        <v>744</v>
      </c>
      <c r="N45" s="95">
        <f t="shared" si="6"/>
        <v>61</v>
      </c>
      <c r="O45" s="193">
        <f t="shared" si="6"/>
        <v>3675</v>
      </c>
      <c r="P45" s="193">
        <f t="shared" si="6"/>
        <v>9128</v>
      </c>
      <c r="Q45" s="95"/>
      <c r="R45" s="98">
        <f t="shared" si="6"/>
        <v>0.09</v>
      </c>
      <c r="S45" s="95">
        <f t="shared" si="6"/>
        <v>0</v>
      </c>
      <c r="T45" s="95">
        <f t="shared" si="6"/>
        <v>0</v>
      </c>
      <c r="U45" s="95">
        <f t="shared" si="6"/>
        <v>0</v>
      </c>
      <c r="V45" s="99"/>
      <c r="W45" s="99"/>
      <c r="X45" s="99"/>
      <c r="Y45" s="99"/>
      <c r="Z45" s="99"/>
      <c r="AA45" s="99"/>
      <c r="AB45" s="99"/>
      <c r="AC45" s="99"/>
      <c r="AD45" s="99"/>
      <c r="AE45" s="99"/>
    </row>
    <row r="46" spans="1:31">
      <c r="A46" s="236" t="s">
        <v>266</v>
      </c>
      <c r="B46" s="172"/>
      <c r="C46" s="81">
        <v>20</v>
      </c>
      <c r="D46" s="58" t="s">
        <v>130</v>
      </c>
      <c r="E46" s="58" t="s">
        <v>127</v>
      </c>
      <c r="F46" s="58" t="s">
        <v>149</v>
      </c>
      <c r="G46" s="58" t="s">
        <v>146</v>
      </c>
      <c r="H46" s="59">
        <v>0</v>
      </c>
      <c r="I46" s="60">
        <v>178</v>
      </c>
      <c r="J46" s="60">
        <v>1325</v>
      </c>
      <c r="K46" s="186">
        <v>1503</v>
      </c>
      <c r="L46" s="56">
        <v>1325</v>
      </c>
      <c r="M46" s="187">
        <v>989</v>
      </c>
      <c r="N46" s="56">
        <v>136</v>
      </c>
      <c r="O46" s="187">
        <v>7819</v>
      </c>
      <c r="P46" s="187">
        <v>19392</v>
      </c>
      <c r="Q46" s="56"/>
      <c r="R46" s="82">
        <v>0.12</v>
      </c>
      <c r="S46" s="100">
        <v>29</v>
      </c>
      <c r="T46" s="100">
        <v>0</v>
      </c>
      <c r="U46" s="100">
        <v>1</v>
      </c>
    </row>
    <row r="47" spans="1:31">
      <c r="B47" s="184"/>
      <c r="C47" s="81"/>
      <c r="D47" s="58" t="s">
        <v>130</v>
      </c>
      <c r="E47" s="58" t="s">
        <v>56</v>
      </c>
      <c r="F47" s="58" t="s">
        <v>150</v>
      </c>
      <c r="G47" s="58" t="s">
        <v>124</v>
      </c>
      <c r="H47" s="59">
        <v>1139.5</v>
      </c>
      <c r="I47" s="60">
        <v>29</v>
      </c>
      <c r="J47" s="60">
        <v>214</v>
      </c>
      <c r="K47" s="186">
        <v>243</v>
      </c>
      <c r="L47" s="56">
        <v>214</v>
      </c>
      <c r="M47" s="187">
        <v>160</v>
      </c>
      <c r="N47" s="56">
        <v>22</v>
      </c>
      <c r="O47" s="187">
        <v>1262</v>
      </c>
      <c r="P47" s="187">
        <v>3129</v>
      </c>
      <c r="Q47" s="56"/>
      <c r="R47" s="82">
        <v>0.03</v>
      </c>
      <c r="S47" s="84"/>
      <c r="T47" s="84"/>
      <c r="U47" s="84"/>
    </row>
    <row r="48" spans="1:31">
      <c r="B48" s="184"/>
      <c r="C48" s="81"/>
      <c r="D48" s="58" t="s">
        <v>130</v>
      </c>
      <c r="E48" s="58" t="s">
        <v>54</v>
      </c>
      <c r="F48" s="58" t="s">
        <v>151</v>
      </c>
      <c r="G48" s="58" t="s">
        <v>124</v>
      </c>
      <c r="H48" s="59">
        <v>1139.5</v>
      </c>
      <c r="I48" s="60">
        <v>63</v>
      </c>
      <c r="J48" s="60">
        <v>70</v>
      </c>
      <c r="K48" s="186">
        <v>133</v>
      </c>
      <c r="L48" s="56">
        <v>70</v>
      </c>
      <c r="M48" s="187">
        <v>351</v>
      </c>
      <c r="N48" s="56">
        <v>8</v>
      </c>
      <c r="O48" s="187">
        <v>657</v>
      </c>
      <c r="P48" s="187">
        <v>1628</v>
      </c>
      <c r="Q48" s="56"/>
      <c r="R48" s="82">
        <v>0.01</v>
      </c>
      <c r="S48" s="84"/>
      <c r="T48" s="84"/>
      <c r="U48" s="84"/>
    </row>
    <row r="49" spans="1:31">
      <c r="B49" s="184"/>
      <c r="C49" s="81"/>
      <c r="D49" s="58" t="s">
        <v>83</v>
      </c>
      <c r="E49" s="58" t="s">
        <v>74</v>
      </c>
      <c r="F49" s="58" t="s">
        <v>152</v>
      </c>
      <c r="G49" s="58" t="s">
        <v>124</v>
      </c>
      <c r="H49" s="59">
        <v>0</v>
      </c>
      <c r="I49" s="60">
        <v>0</v>
      </c>
      <c r="J49" s="60">
        <v>0</v>
      </c>
      <c r="K49" s="186">
        <v>0</v>
      </c>
      <c r="L49" s="56">
        <v>0</v>
      </c>
      <c r="M49" s="187">
        <v>0</v>
      </c>
      <c r="N49" s="56">
        <v>0</v>
      </c>
      <c r="O49" s="187">
        <v>0</v>
      </c>
      <c r="P49" s="187">
        <v>0</v>
      </c>
      <c r="Q49" s="56"/>
      <c r="R49" s="82">
        <v>0</v>
      </c>
      <c r="S49" s="84"/>
      <c r="T49" s="84"/>
      <c r="U49" s="84"/>
    </row>
    <row r="50" spans="1:31">
      <c r="B50" s="101" t="s">
        <v>117</v>
      </c>
      <c r="C50" s="102">
        <v>20</v>
      </c>
      <c r="D50" s="92"/>
      <c r="E50" s="92"/>
      <c r="F50" s="92"/>
      <c r="G50" s="92"/>
      <c r="H50" s="92"/>
      <c r="I50" s="92"/>
      <c r="J50" s="92"/>
      <c r="K50" s="190"/>
      <c r="L50" s="92"/>
      <c r="M50" s="190"/>
      <c r="N50" s="103"/>
      <c r="O50" s="194"/>
      <c r="P50" s="195"/>
      <c r="Q50" s="91"/>
      <c r="R50" s="91"/>
      <c r="S50" s="90"/>
      <c r="T50" s="91"/>
      <c r="U50" s="92"/>
      <c r="V50" s="84"/>
      <c r="W50" s="84"/>
      <c r="X50" s="84"/>
      <c r="Y50" s="84"/>
      <c r="Z50" s="84"/>
      <c r="AA50" s="84"/>
      <c r="AB50" s="84"/>
      <c r="AC50" s="84"/>
      <c r="AD50" s="84"/>
      <c r="AE50" s="84"/>
    </row>
    <row r="51" spans="1:31">
      <c r="B51" s="93" t="s">
        <v>118</v>
      </c>
      <c r="C51" s="94">
        <v>4</v>
      </c>
      <c r="D51" s="93"/>
      <c r="E51" s="95"/>
      <c r="F51" s="95"/>
      <c r="G51" s="95"/>
      <c r="H51" s="96">
        <f t="shared" ref="H51:U51" si="7">SUM(H46:H49)</f>
        <v>2279</v>
      </c>
      <c r="I51" s="97">
        <f t="shared" si="7"/>
        <v>270</v>
      </c>
      <c r="J51" s="97">
        <f t="shared" si="7"/>
        <v>1609</v>
      </c>
      <c r="K51" s="188">
        <f t="shared" si="7"/>
        <v>1879</v>
      </c>
      <c r="L51" s="95">
        <f t="shared" si="7"/>
        <v>1609</v>
      </c>
      <c r="M51" s="193">
        <f t="shared" si="7"/>
        <v>1500</v>
      </c>
      <c r="N51" s="95">
        <f t="shared" si="7"/>
        <v>166</v>
      </c>
      <c r="O51" s="193">
        <f t="shared" si="7"/>
        <v>9738</v>
      </c>
      <c r="P51" s="193">
        <f t="shared" si="7"/>
        <v>24149</v>
      </c>
      <c r="Q51" s="95"/>
      <c r="R51" s="98">
        <f t="shared" si="7"/>
        <v>0.16</v>
      </c>
      <c r="S51" s="95">
        <f t="shared" si="7"/>
        <v>29</v>
      </c>
      <c r="T51" s="95">
        <f t="shared" si="7"/>
        <v>0</v>
      </c>
      <c r="U51" s="95">
        <f t="shared" si="7"/>
        <v>1</v>
      </c>
      <c r="V51" s="99"/>
      <c r="W51" s="99"/>
      <c r="X51" s="99"/>
      <c r="Y51" s="99"/>
      <c r="Z51" s="99"/>
      <c r="AA51" s="99"/>
      <c r="AB51" s="99"/>
      <c r="AC51" s="99"/>
      <c r="AD51" s="99"/>
      <c r="AE51" s="99"/>
    </row>
    <row r="52" spans="1:31">
      <c r="A52" s="236" t="s">
        <v>259</v>
      </c>
      <c r="B52" s="172"/>
      <c r="C52" s="81">
        <v>2</v>
      </c>
      <c r="D52" s="58" t="s">
        <v>83</v>
      </c>
      <c r="E52" s="58" t="s">
        <v>104</v>
      </c>
      <c r="F52" s="58" t="s">
        <v>105</v>
      </c>
      <c r="G52" s="58" t="s">
        <v>106</v>
      </c>
      <c r="H52" s="59">
        <v>0</v>
      </c>
      <c r="I52" s="60">
        <v>0</v>
      </c>
      <c r="J52" s="60">
        <v>0</v>
      </c>
      <c r="K52" s="186">
        <v>0</v>
      </c>
      <c r="L52" s="56">
        <v>0</v>
      </c>
      <c r="M52" s="187">
        <v>0</v>
      </c>
      <c r="N52" s="56">
        <v>0</v>
      </c>
      <c r="O52" s="187">
        <v>0</v>
      </c>
      <c r="P52" s="187">
        <v>0</v>
      </c>
      <c r="Q52" s="56"/>
      <c r="R52" s="82">
        <v>0</v>
      </c>
      <c r="S52" s="100">
        <v>5</v>
      </c>
      <c r="T52" s="100">
        <v>0</v>
      </c>
      <c r="U52" s="100">
        <v>0</v>
      </c>
    </row>
    <row r="53" spans="1:31">
      <c r="B53" s="184"/>
      <c r="C53" s="81"/>
      <c r="D53" s="58" t="s">
        <v>83</v>
      </c>
      <c r="E53" s="58" t="s">
        <v>119</v>
      </c>
      <c r="F53" s="58" t="s">
        <v>153</v>
      </c>
      <c r="G53" s="58" t="s">
        <v>100</v>
      </c>
      <c r="H53" s="59">
        <v>0</v>
      </c>
      <c r="I53" s="60">
        <v>0</v>
      </c>
      <c r="J53" s="60">
        <v>0</v>
      </c>
      <c r="K53" s="186">
        <v>0</v>
      </c>
      <c r="L53" s="56">
        <v>0</v>
      </c>
      <c r="M53" s="187">
        <v>0</v>
      </c>
      <c r="N53" s="56">
        <v>0</v>
      </c>
      <c r="O53" s="187">
        <v>0</v>
      </c>
      <c r="P53" s="187">
        <v>0</v>
      </c>
      <c r="Q53" s="56"/>
      <c r="R53" s="82">
        <v>0</v>
      </c>
      <c r="S53" s="84"/>
      <c r="T53" s="84"/>
      <c r="U53" s="84"/>
    </row>
    <row r="54" spans="1:31">
      <c r="B54" s="184"/>
      <c r="C54" s="81"/>
      <c r="D54" s="58" t="s">
        <v>130</v>
      </c>
      <c r="E54" s="58" t="s">
        <v>65</v>
      </c>
      <c r="F54" s="58" t="s">
        <v>154</v>
      </c>
      <c r="G54" s="58" t="s">
        <v>100</v>
      </c>
      <c r="H54" s="59">
        <v>700</v>
      </c>
      <c r="I54" s="60">
        <v>354</v>
      </c>
      <c r="J54" s="60">
        <v>0</v>
      </c>
      <c r="K54" s="186">
        <v>354</v>
      </c>
      <c r="L54" s="56">
        <v>221</v>
      </c>
      <c r="M54" s="187">
        <v>737</v>
      </c>
      <c r="N54" s="56">
        <v>25</v>
      </c>
      <c r="O54" s="187">
        <v>1773</v>
      </c>
      <c r="P54" s="187">
        <v>4397</v>
      </c>
      <c r="Q54" s="56"/>
      <c r="R54" s="82">
        <v>0.1</v>
      </c>
      <c r="S54" s="84"/>
      <c r="T54" s="84"/>
      <c r="U54" s="84"/>
    </row>
    <row r="55" spans="1:31">
      <c r="B55" s="184"/>
      <c r="C55" s="81"/>
      <c r="D55" s="58" t="s">
        <v>83</v>
      </c>
      <c r="E55" s="58" t="s">
        <v>119</v>
      </c>
      <c r="F55" s="58" t="s">
        <v>155</v>
      </c>
      <c r="G55" s="58" t="s">
        <v>100</v>
      </c>
      <c r="H55" s="59">
        <v>0</v>
      </c>
      <c r="I55" s="60">
        <v>0</v>
      </c>
      <c r="J55" s="60">
        <v>0</v>
      </c>
      <c r="K55" s="186">
        <v>0</v>
      </c>
      <c r="L55" s="56">
        <v>0</v>
      </c>
      <c r="M55" s="187">
        <v>0</v>
      </c>
      <c r="N55" s="56">
        <v>0</v>
      </c>
      <c r="O55" s="187">
        <v>0</v>
      </c>
      <c r="P55" s="187">
        <v>0</v>
      </c>
      <c r="Q55" s="56"/>
      <c r="R55" s="82">
        <v>0</v>
      </c>
      <c r="S55" s="84"/>
      <c r="T55" s="84"/>
      <c r="U55" s="84"/>
    </row>
    <row r="56" spans="1:31">
      <c r="B56" s="184"/>
      <c r="C56" s="81"/>
      <c r="D56" s="58" t="s">
        <v>83</v>
      </c>
      <c r="E56" s="58" t="s">
        <v>74</v>
      </c>
      <c r="F56" s="58" t="s">
        <v>156</v>
      </c>
      <c r="G56" s="58" t="s">
        <v>124</v>
      </c>
      <c r="H56" s="59">
        <v>0</v>
      </c>
      <c r="I56" s="60">
        <v>0</v>
      </c>
      <c r="J56" s="60">
        <v>0</v>
      </c>
      <c r="K56" s="186">
        <v>0</v>
      </c>
      <c r="L56" s="56">
        <v>0</v>
      </c>
      <c r="M56" s="187">
        <v>0</v>
      </c>
      <c r="N56" s="56">
        <v>0</v>
      </c>
      <c r="O56" s="187">
        <v>0</v>
      </c>
      <c r="P56" s="187">
        <v>0</v>
      </c>
      <c r="Q56" s="56"/>
      <c r="R56" s="82">
        <v>0</v>
      </c>
      <c r="S56" s="84"/>
      <c r="T56" s="84"/>
      <c r="U56" s="84"/>
    </row>
    <row r="57" spans="1:31">
      <c r="B57" s="33"/>
      <c r="C57" s="81"/>
      <c r="D57" s="58" t="s">
        <v>130</v>
      </c>
      <c r="E57" s="58" t="s">
        <v>54</v>
      </c>
      <c r="F57" s="58"/>
      <c r="G57" s="58" t="s">
        <v>124</v>
      </c>
      <c r="H57" s="59">
        <v>1350</v>
      </c>
      <c r="I57" s="60">
        <v>82</v>
      </c>
      <c r="J57" s="60">
        <v>0</v>
      </c>
      <c r="K57" s="186">
        <v>82</v>
      </c>
      <c r="L57" s="56">
        <v>74</v>
      </c>
      <c r="M57" s="187">
        <v>44</v>
      </c>
      <c r="N57" s="56">
        <v>8</v>
      </c>
      <c r="O57" s="187">
        <v>426</v>
      </c>
      <c r="P57" s="187">
        <v>1057</v>
      </c>
      <c r="Q57" s="56"/>
      <c r="R57" s="82">
        <v>0.03</v>
      </c>
      <c r="S57" s="84"/>
      <c r="T57" s="84"/>
      <c r="U57" s="84"/>
    </row>
    <row r="58" spans="1:31">
      <c r="B58" s="184"/>
      <c r="C58" s="81"/>
      <c r="D58" s="58" t="s">
        <v>130</v>
      </c>
      <c r="E58" s="58" t="s">
        <v>56</v>
      </c>
      <c r="F58" s="58"/>
      <c r="G58" s="58" t="s">
        <v>124</v>
      </c>
      <c r="H58" s="59">
        <v>1050</v>
      </c>
      <c r="I58" s="60">
        <v>103</v>
      </c>
      <c r="J58" s="60">
        <v>0</v>
      </c>
      <c r="K58" s="186">
        <v>103</v>
      </c>
      <c r="L58" s="56">
        <v>89</v>
      </c>
      <c r="M58" s="187">
        <v>75</v>
      </c>
      <c r="N58" s="56">
        <v>9</v>
      </c>
      <c r="O58" s="187">
        <v>533</v>
      </c>
      <c r="P58" s="187">
        <v>1321</v>
      </c>
      <c r="Q58" s="56"/>
      <c r="R58" s="82">
        <v>0.04</v>
      </c>
      <c r="S58" s="84"/>
      <c r="T58" s="84"/>
      <c r="U58" s="84"/>
    </row>
    <row r="59" spans="1:31">
      <c r="B59" s="101" t="s">
        <v>117</v>
      </c>
      <c r="C59" s="102">
        <v>2</v>
      </c>
      <c r="D59" s="92"/>
      <c r="E59" s="92"/>
      <c r="F59" s="92"/>
      <c r="G59" s="92"/>
      <c r="H59" s="92"/>
      <c r="I59" s="92"/>
      <c r="J59" s="92"/>
      <c r="K59" s="190"/>
      <c r="L59" s="92"/>
      <c r="M59" s="190"/>
      <c r="N59" s="103"/>
      <c r="O59" s="194"/>
      <c r="P59" s="195"/>
      <c r="Q59" s="91"/>
      <c r="R59" s="91"/>
      <c r="S59" s="90"/>
      <c r="T59" s="91"/>
      <c r="U59" s="92"/>
      <c r="V59" s="84"/>
      <c r="W59" s="84"/>
      <c r="X59" s="84"/>
      <c r="Y59" s="84"/>
      <c r="Z59" s="84"/>
      <c r="AA59" s="84"/>
      <c r="AB59" s="84"/>
      <c r="AC59" s="84"/>
      <c r="AD59" s="84"/>
      <c r="AE59" s="84"/>
    </row>
    <row r="60" spans="1:31">
      <c r="B60" s="93" t="s">
        <v>118</v>
      </c>
      <c r="C60" s="94">
        <v>7</v>
      </c>
      <c r="D60" s="93"/>
      <c r="E60" s="95"/>
      <c r="F60" s="95"/>
      <c r="G60" s="95"/>
      <c r="H60" s="96">
        <f t="shared" ref="H60:U60" si="8">SUM(H52:H58)</f>
        <v>3100</v>
      </c>
      <c r="I60" s="97">
        <f t="shared" si="8"/>
        <v>539</v>
      </c>
      <c r="J60" s="97">
        <f t="shared" si="8"/>
        <v>0</v>
      </c>
      <c r="K60" s="188">
        <f t="shared" si="8"/>
        <v>539</v>
      </c>
      <c r="L60" s="95">
        <f t="shared" si="8"/>
        <v>384</v>
      </c>
      <c r="M60" s="193">
        <f t="shared" si="8"/>
        <v>856</v>
      </c>
      <c r="N60" s="95">
        <f t="shared" si="8"/>
        <v>42</v>
      </c>
      <c r="O60" s="193">
        <f t="shared" si="8"/>
        <v>2732</v>
      </c>
      <c r="P60" s="193">
        <f t="shared" si="8"/>
        <v>6775</v>
      </c>
      <c r="Q60" s="95"/>
      <c r="R60" s="98">
        <f t="shared" si="8"/>
        <v>0.17</v>
      </c>
      <c r="S60" s="95">
        <f t="shared" si="8"/>
        <v>5</v>
      </c>
      <c r="T60" s="95">
        <f t="shared" si="8"/>
        <v>0</v>
      </c>
      <c r="U60" s="95">
        <f t="shared" si="8"/>
        <v>0</v>
      </c>
      <c r="V60" s="99"/>
      <c r="W60" s="99"/>
      <c r="X60" s="99"/>
      <c r="Y60" s="99"/>
      <c r="Z60" s="99"/>
      <c r="AA60" s="99"/>
      <c r="AB60" s="99"/>
      <c r="AC60" s="99"/>
      <c r="AD60" s="99"/>
      <c r="AE60" s="99"/>
    </row>
    <row r="61" spans="1:31">
      <c r="A61" s="236" t="s">
        <v>259</v>
      </c>
      <c r="B61" s="172"/>
      <c r="C61" s="81">
        <v>2</v>
      </c>
      <c r="D61" s="58" t="s">
        <v>83</v>
      </c>
      <c r="E61" s="58" t="s">
        <v>104</v>
      </c>
      <c r="F61" s="58" t="s">
        <v>105</v>
      </c>
      <c r="G61" s="58" t="s">
        <v>106</v>
      </c>
      <c r="H61" s="59">
        <v>0</v>
      </c>
      <c r="I61" s="60">
        <v>0</v>
      </c>
      <c r="J61" s="60">
        <v>0</v>
      </c>
      <c r="K61" s="186">
        <v>0</v>
      </c>
      <c r="L61" s="56">
        <v>0</v>
      </c>
      <c r="M61" s="187">
        <v>0</v>
      </c>
      <c r="N61" s="56">
        <v>0</v>
      </c>
      <c r="O61" s="187">
        <v>0</v>
      </c>
      <c r="P61" s="187">
        <v>0</v>
      </c>
      <c r="Q61" s="56"/>
      <c r="R61" s="82">
        <v>0</v>
      </c>
      <c r="S61" s="100">
        <v>9</v>
      </c>
      <c r="T61" s="100">
        <v>3</v>
      </c>
      <c r="U61" s="100">
        <v>0</v>
      </c>
    </row>
    <row r="62" spans="1:31">
      <c r="B62" s="184"/>
      <c r="C62" s="81"/>
      <c r="D62" s="58" t="s">
        <v>83</v>
      </c>
      <c r="E62" s="58" t="s">
        <v>113</v>
      </c>
      <c r="F62" s="58" t="s">
        <v>157</v>
      </c>
      <c r="G62" s="58" t="s">
        <v>116</v>
      </c>
      <c r="H62" s="59">
        <v>0</v>
      </c>
      <c r="I62" s="60">
        <v>0</v>
      </c>
      <c r="J62" s="60">
        <v>0</v>
      </c>
      <c r="K62" s="186">
        <v>0</v>
      </c>
      <c r="L62" s="56">
        <v>0</v>
      </c>
      <c r="M62" s="187">
        <v>0</v>
      </c>
      <c r="N62" s="56">
        <v>0</v>
      </c>
      <c r="O62" s="187">
        <v>0</v>
      </c>
      <c r="P62" s="187">
        <v>0</v>
      </c>
      <c r="Q62" s="56"/>
      <c r="R62" s="82">
        <v>0</v>
      </c>
      <c r="S62" s="84"/>
      <c r="T62" s="84"/>
      <c r="U62" s="84"/>
    </row>
    <row r="63" spans="1:31">
      <c r="B63" s="184"/>
      <c r="C63" s="81"/>
      <c r="D63" s="58" t="s">
        <v>130</v>
      </c>
      <c r="E63" s="58" t="s">
        <v>65</v>
      </c>
      <c r="F63" s="58" t="s">
        <v>158</v>
      </c>
      <c r="G63" s="58" t="s">
        <v>100</v>
      </c>
      <c r="H63" s="59">
        <v>1000</v>
      </c>
      <c r="I63" s="60">
        <v>-175</v>
      </c>
      <c r="J63" s="60">
        <v>0</v>
      </c>
      <c r="K63" s="186">
        <v>-175</v>
      </c>
      <c r="L63" s="56">
        <v>124</v>
      </c>
      <c r="M63" s="187">
        <v>-1660</v>
      </c>
      <c r="N63" s="56">
        <v>7</v>
      </c>
      <c r="O63" s="187">
        <v>-700</v>
      </c>
      <c r="P63" s="187">
        <v>-1736</v>
      </c>
      <c r="Q63" s="56"/>
      <c r="R63" s="82">
        <v>0.05</v>
      </c>
      <c r="S63" s="84"/>
      <c r="T63" s="84"/>
      <c r="U63" s="84"/>
    </row>
    <row r="64" spans="1:31">
      <c r="B64" s="33"/>
      <c r="C64" s="81"/>
      <c r="D64" s="58" t="s">
        <v>130</v>
      </c>
      <c r="E64" s="58" t="s">
        <v>159</v>
      </c>
      <c r="F64" s="58"/>
      <c r="G64" s="58" t="s">
        <v>116</v>
      </c>
      <c r="H64" s="59">
        <v>1050</v>
      </c>
      <c r="I64" s="60">
        <v>96</v>
      </c>
      <c r="J64" s="60">
        <v>0</v>
      </c>
      <c r="K64" s="186">
        <v>96</v>
      </c>
      <c r="L64" s="56">
        <v>96</v>
      </c>
      <c r="M64" s="187">
        <v>0</v>
      </c>
      <c r="N64" s="56">
        <v>10</v>
      </c>
      <c r="O64" s="187">
        <v>506</v>
      </c>
      <c r="P64" s="187">
        <v>1256</v>
      </c>
      <c r="Q64" s="56"/>
      <c r="R64" s="82">
        <v>0.08</v>
      </c>
      <c r="S64" s="84"/>
      <c r="T64" s="84"/>
      <c r="U64" s="84"/>
    </row>
    <row r="65" spans="1:31">
      <c r="B65" s="184"/>
      <c r="C65" s="81"/>
      <c r="D65" s="58" t="s">
        <v>130</v>
      </c>
      <c r="E65" s="58" t="s">
        <v>45</v>
      </c>
      <c r="F65" s="58" t="s">
        <v>160</v>
      </c>
      <c r="G65" s="58" t="s">
        <v>116</v>
      </c>
      <c r="H65" s="59">
        <v>1350</v>
      </c>
      <c r="I65" s="60">
        <v>78</v>
      </c>
      <c r="J65" s="60">
        <v>0</v>
      </c>
      <c r="K65" s="186">
        <v>78</v>
      </c>
      <c r="L65" s="56">
        <v>78</v>
      </c>
      <c r="M65" s="187">
        <v>0</v>
      </c>
      <c r="N65" s="56">
        <v>8</v>
      </c>
      <c r="O65" s="187">
        <v>410</v>
      </c>
      <c r="P65" s="187">
        <v>1017</v>
      </c>
      <c r="Q65" s="56"/>
      <c r="R65" s="82">
        <v>0.06</v>
      </c>
      <c r="S65" s="84"/>
      <c r="T65" s="84"/>
      <c r="U65" s="84"/>
    </row>
    <row r="66" spans="1:31">
      <c r="B66" s="109" t="s">
        <v>117</v>
      </c>
      <c r="C66" s="86">
        <v>2</v>
      </c>
      <c r="S66" s="84"/>
      <c r="T66" s="84"/>
      <c r="U66" s="84"/>
    </row>
    <row r="67" spans="1:31">
      <c r="B67" s="93" t="s">
        <v>118</v>
      </c>
      <c r="C67" s="94">
        <v>5</v>
      </c>
      <c r="D67" s="93"/>
      <c r="E67" s="95"/>
      <c r="F67" s="95"/>
      <c r="G67" s="95"/>
      <c r="H67" s="96">
        <f t="shared" ref="H67:U67" si="9">SUM(H61:H65)</f>
        <v>3400</v>
      </c>
      <c r="I67" s="97">
        <f t="shared" si="9"/>
        <v>-1</v>
      </c>
      <c r="J67" s="97">
        <f t="shared" si="9"/>
        <v>0</v>
      </c>
      <c r="K67" s="188">
        <f t="shared" si="9"/>
        <v>-1</v>
      </c>
      <c r="L67" s="95">
        <f t="shared" si="9"/>
        <v>298</v>
      </c>
      <c r="M67" s="193">
        <f t="shared" si="9"/>
        <v>-1660</v>
      </c>
      <c r="N67" s="95">
        <f t="shared" si="9"/>
        <v>25</v>
      </c>
      <c r="O67" s="193">
        <f t="shared" si="9"/>
        <v>216</v>
      </c>
      <c r="P67" s="193">
        <f t="shared" si="9"/>
        <v>537</v>
      </c>
      <c r="Q67" s="95"/>
      <c r="R67" s="98">
        <f t="shared" si="9"/>
        <v>0.19</v>
      </c>
      <c r="S67" s="95">
        <f t="shared" si="9"/>
        <v>9</v>
      </c>
      <c r="T67" s="95">
        <f t="shared" si="9"/>
        <v>3</v>
      </c>
      <c r="U67" s="95">
        <f t="shared" si="9"/>
        <v>0</v>
      </c>
      <c r="V67" s="99"/>
      <c r="W67" s="99"/>
      <c r="X67" s="99"/>
      <c r="Y67" s="99"/>
      <c r="Z67" s="99"/>
      <c r="AA67" s="99"/>
      <c r="AB67" s="99"/>
      <c r="AC67" s="99"/>
      <c r="AD67" s="99"/>
      <c r="AE67" s="99"/>
    </row>
    <row r="68" spans="1:31">
      <c r="A68" s="236" t="s">
        <v>244</v>
      </c>
      <c r="B68" s="172"/>
      <c r="C68" s="81">
        <v>4</v>
      </c>
      <c r="D68" s="58" t="s">
        <v>130</v>
      </c>
      <c r="E68" s="58" t="s">
        <v>144</v>
      </c>
      <c r="F68" s="58" t="s">
        <v>161</v>
      </c>
      <c r="G68" s="58" t="s">
        <v>129</v>
      </c>
      <c r="H68" s="59">
        <v>0</v>
      </c>
      <c r="I68" s="60">
        <v>21</v>
      </c>
      <c r="J68" s="60">
        <v>201</v>
      </c>
      <c r="K68" s="186">
        <v>222</v>
      </c>
      <c r="L68" s="56">
        <v>201</v>
      </c>
      <c r="M68" s="187">
        <v>113</v>
      </c>
      <c r="N68" s="56">
        <v>20</v>
      </c>
      <c r="O68" s="187">
        <v>1154</v>
      </c>
      <c r="P68" s="187">
        <v>2862</v>
      </c>
      <c r="Q68" s="56"/>
      <c r="R68" s="82">
        <v>0.17</v>
      </c>
      <c r="S68" s="100">
        <v>6</v>
      </c>
      <c r="T68" s="100">
        <v>1</v>
      </c>
      <c r="U68" s="100">
        <v>3</v>
      </c>
    </row>
    <row r="69" spans="1:31">
      <c r="B69" s="101" t="s">
        <v>117</v>
      </c>
      <c r="C69" s="102">
        <v>4</v>
      </c>
      <c r="D69" s="92"/>
      <c r="E69" s="92"/>
      <c r="F69" s="92"/>
      <c r="G69" s="92"/>
      <c r="H69" s="92"/>
      <c r="I69" s="92"/>
      <c r="J69" s="92"/>
      <c r="K69" s="190"/>
      <c r="L69" s="92"/>
      <c r="M69" s="190"/>
      <c r="N69" s="103"/>
      <c r="O69" s="194"/>
      <c r="P69" s="195"/>
      <c r="Q69" s="91"/>
      <c r="R69" s="91"/>
      <c r="S69" s="90"/>
      <c r="T69" s="91"/>
      <c r="U69" s="92"/>
      <c r="V69" s="84"/>
      <c r="W69" s="84"/>
      <c r="X69" s="84"/>
      <c r="Y69" s="84"/>
      <c r="Z69" s="84"/>
      <c r="AA69" s="84"/>
      <c r="AB69" s="84"/>
      <c r="AC69" s="84"/>
      <c r="AD69" s="84"/>
      <c r="AE69" s="84"/>
    </row>
    <row r="70" spans="1:31">
      <c r="B70" s="93" t="s">
        <v>118</v>
      </c>
      <c r="C70" s="94">
        <v>1</v>
      </c>
      <c r="D70" s="93"/>
      <c r="E70" s="95"/>
      <c r="F70" s="95"/>
      <c r="G70" s="95"/>
      <c r="H70" s="96">
        <f t="shared" ref="H70:U70" si="10">H68</f>
        <v>0</v>
      </c>
      <c r="I70" s="97">
        <f t="shared" si="10"/>
        <v>21</v>
      </c>
      <c r="J70" s="97">
        <f t="shared" si="10"/>
        <v>201</v>
      </c>
      <c r="K70" s="188">
        <f t="shared" si="10"/>
        <v>222</v>
      </c>
      <c r="L70" s="95">
        <f t="shared" si="10"/>
        <v>201</v>
      </c>
      <c r="M70" s="193">
        <f t="shared" si="10"/>
        <v>113</v>
      </c>
      <c r="N70" s="95">
        <f t="shared" si="10"/>
        <v>20</v>
      </c>
      <c r="O70" s="193">
        <f t="shared" si="10"/>
        <v>1154</v>
      </c>
      <c r="P70" s="193">
        <f t="shared" si="10"/>
        <v>2862</v>
      </c>
      <c r="Q70" s="95"/>
      <c r="R70" s="98">
        <f t="shared" si="10"/>
        <v>0.17</v>
      </c>
      <c r="S70" s="95">
        <f t="shared" si="10"/>
        <v>6</v>
      </c>
      <c r="T70" s="95">
        <f t="shared" si="10"/>
        <v>1</v>
      </c>
      <c r="U70" s="95">
        <f t="shared" si="10"/>
        <v>3</v>
      </c>
      <c r="V70" s="99"/>
      <c r="W70" s="99"/>
      <c r="X70" s="99"/>
      <c r="Y70" s="99"/>
      <c r="Z70" s="99"/>
      <c r="AA70" s="99"/>
      <c r="AB70" s="99"/>
      <c r="AC70" s="99"/>
      <c r="AD70" s="99"/>
      <c r="AE70" s="99"/>
    </row>
    <row r="71" spans="1:31">
      <c r="A71" s="236" t="s">
        <v>267</v>
      </c>
      <c r="B71" s="172"/>
      <c r="C71" s="81">
        <v>4</v>
      </c>
      <c r="D71" s="58" t="s">
        <v>130</v>
      </c>
      <c r="E71" s="58" t="s">
        <v>75</v>
      </c>
      <c r="F71" s="58"/>
      <c r="G71" s="58" t="s">
        <v>124</v>
      </c>
      <c r="H71" s="59">
        <v>0</v>
      </c>
      <c r="I71" s="60">
        <v>0</v>
      </c>
      <c r="J71" s="60">
        <v>705</v>
      </c>
      <c r="K71" s="186">
        <v>705</v>
      </c>
      <c r="L71" s="56">
        <v>0</v>
      </c>
      <c r="M71" s="187">
        <v>4837</v>
      </c>
      <c r="N71" s="56">
        <v>17</v>
      </c>
      <c r="O71" s="187">
        <v>3949</v>
      </c>
      <c r="P71" s="187">
        <v>9794</v>
      </c>
      <c r="Q71" s="56"/>
      <c r="R71" s="82">
        <v>0.13</v>
      </c>
      <c r="S71" s="100">
        <v>4</v>
      </c>
      <c r="T71" s="100">
        <v>0</v>
      </c>
      <c r="U71" s="100">
        <v>2</v>
      </c>
    </row>
    <row r="72" spans="1:31">
      <c r="B72" s="110"/>
      <c r="C72" s="81"/>
      <c r="D72" s="58" t="s">
        <v>130</v>
      </c>
      <c r="E72" s="58" t="s">
        <v>45</v>
      </c>
      <c r="F72" s="58" t="s">
        <v>162</v>
      </c>
      <c r="G72" s="58" t="s">
        <v>124</v>
      </c>
      <c r="H72" s="59">
        <v>525</v>
      </c>
      <c r="I72" s="60">
        <v>0</v>
      </c>
      <c r="J72" s="60">
        <v>428</v>
      </c>
      <c r="K72" s="186">
        <v>428</v>
      </c>
      <c r="L72" s="56">
        <v>0</v>
      </c>
      <c r="M72" s="187">
        <v>2941</v>
      </c>
      <c r="N72" s="56">
        <v>10</v>
      </c>
      <c r="O72" s="187">
        <v>2401</v>
      </c>
      <c r="P72" s="187">
        <v>5955</v>
      </c>
      <c r="Q72" s="56"/>
      <c r="R72" s="82">
        <v>0.08</v>
      </c>
      <c r="S72" s="84"/>
      <c r="T72" s="84"/>
      <c r="U72" s="84"/>
    </row>
    <row r="73" spans="1:31">
      <c r="B73" s="110"/>
      <c r="C73" s="81"/>
      <c r="D73" s="58" t="s">
        <v>130</v>
      </c>
      <c r="E73" s="58" t="s">
        <v>159</v>
      </c>
      <c r="F73" s="58"/>
      <c r="G73" s="58" t="s">
        <v>124</v>
      </c>
      <c r="H73" s="59">
        <v>525</v>
      </c>
      <c r="I73" s="60">
        <v>0</v>
      </c>
      <c r="J73" s="60">
        <v>223</v>
      </c>
      <c r="K73" s="186">
        <v>223</v>
      </c>
      <c r="L73" s="56">
        <v>0</v>
      </c>
      <c r="M73" s="187">
        <v>1529</v>
      </c>
      <c r="N73" s="56">
        <v>5</v>
      </c>
      <c r="O73" s="187">
        <v>1249</v>
      </c>
      <c r="P73" s="187">
        <v>3097</v>
      </c>
      <c r="Q73" s="56"/>
      <c r="R73" s="82">
        <v>0.04</v>
      </c>
      <c r="S73" s="84"/>
      <c r="T73" s="84"/>
      <c r="U73" s="84"/>
    </row>
    <row r="74" spans="1:31">
      <c r="B74" s="110"/>
      <c r="C74" s="81"/>
      <c r="D74" s="58" t="s">
        <v>83</v>
      </c>
      <c r="E74" s="58" t="s">
        <v>74</v>
      </c>
      <c r="F74" s="58" t="s">
        <v>163</v>
      </c>
      <c r="G74" s="58" t="s">
        <v>124</v>
      </c>
      <c r="H74" s="59">
        <v>0</v>
      </c>
      <c r="I74" s="60">
        <v>0</v>
      </c>
      <c r="J74" s="60">
        <v>0</v>
      </c>
      <c r="K74" s="186">
        <v>0</v>
      </c>
      <c r="L74" s="56">
        <v>0</v>
      </c>
      <c r="M74" s="187">
        <v>0</v>
      </c>
      <c r="N74" s="56">
        <v>0</v>
      </c>
      <c r="O74" s="187">
        <v>0</v>
      </c>
      <c r="P74" s="187">
        <v>0</v>
      </c>
      <c r="Q74" s="56"/>
      <c r="R74" s="82">
        <v>0</v>
      </c>
      <c r="S74" s="84"/>
      <c r="T74" s="84"/>
      <c r="U74" s="84"/>
    </row>
    <row r="75" spans="1:31">
      <c r="B75" s="101" t="s">
        <v>117</v>
      </c>
      <c r="C75" s="102">
        <v>4</v>
      </c>
      <c r="D75" s="92"/>
      <c r="E75" s="92"/>
      <c r="F75" s="92"/>
      <c r="G75" s="92"/>
      <c r="H75" s="92"/>
      <c r="I75" s="92"/>
      <c r="J75" s="92"/>
      <c r="K75" s="190"/>
      <c r="L75" s="92"/>
      <c r="M75" s="190"/>
      <c r="N75" s="103"/>
      <c r="O75" s="194"/>
      <c r="P75" s="195"/>
      <c r="Q75" s="91"/>
      <c r="R75" s="91"/>
      <c r="S75" s="90"/>
      <c r="T75" s="91"/>
      <c r="U75" s="92"/>
      <c r="V75" s="84"/>
      <c r="W75" s="84"/>
      <c r="X75" s="84"/>
      <c r="Y75" s="84"/>
      <c r="Z75" s="84"/>
      <c r="AA75" s="84"/>
      <c r="AB75" s="84"/>
      <c r="AC75" s="84"/>
      <c r="AD75" s="84"/>
      <c r="AE75" s="84"/>
    </row>
    <row r="76" spans="1:31">
      <c r="B76" s="93" t="s">
        <v>118</v>
      </c>
      <c r="C76" s="94">
        <v>4</v>
      </c>
      <c r="D76" s="93"/>
      <c r="E76" s="95"/>
      <c r="F76" s="95"/>
      <c r="G76" s="95"/>
      <c r="H76" s="96">
        <f t="shared" ref="H76:U76" si="11">SUM(H71:H74)</f>
        <v>1050</v>
      </c>
      <c r="I76" s="97">
        <f t="shared" si="11"/>
        <v>0</v>
      </c>
      <c r="J76" s="97">
        <f t="shared" si="11"/>
        <v>1356</v>
      </c>
      <c r="K76" s="188">
        <f t="shared" si="11"/>
        <v>1356</v>
      </c>
      <c r="L76" s="95">
        <f t="shared" si="11"/>
        <v>0</v>
      </c>
      <c r="M76" s="193">
        <f t="shared" si="11"/>
        <v>9307</v>
      </c>
      <c r="N76" s="95">
        <f t="shared" si="11"/>
        <v>32</v>
      </c>
      <c r="O76" s="193">
        <f t="shared" si="11"/>
        <v>7599</v>
      </c>
      <c r="P76" s="193">
        <f t="shared" si="11"/>
        <v>18846</v>
      </c>
      <c r="Q76" s="95"/>
      <c r="R76" s="98">
        <f t="shared" si="11"/>
        <v>0.25</v>
      </c>
      <c r="S76" s="95">
        <f t="shared" si="11"/>
        <v>4</v>
      </c>
      <c r="T76" s="95">
        <f t="shared" si="11"/>
        <v>0</v>
      </c>
      <c r="U76" s="95">
        <f t="shared" si="11"/>
        <v>2</v>
      </c>
      <c r="V76" s="99"/>
      <c r="W76" s="99"/>
      <c r="X76" s="99"/>
      <c r="Y76" s="99"/>
      <c r="Z76" s="99"/>
      <c r="AA76" s="99"/>
      <c r="AB76" s="99"/>
      <c r="AC76" s="99"/>
      <c r="AD76" s="99"/>
      <c r="AE76" s="99"/>
    </row>
    <row r="77" spans="1:31">
      <c r="B77" s="16"/>
      <c r="C77" s="16"/>
      <c r="S77" s="84"/>
      <c r="T77" s="84"/>
      <c r="U77" s="84"/>
    </row>
    <row r="78" spans="1:31">
      <c r="B78" s="111" t="s">
        <v>117</v>
      </c>
      <c r="C78" s="112">
        <v>60</v>
      </c>
      <c r="D78" s="113" t="s">
        <v>164</v>
      </c>
      <c r="E78" s="114"/>
      <c r="F78" s="114"/>
      <c r="G78" s="114"/>
      <c r="H78" s="114"/>
      <c r="I78" s="114"/>
      <c r="J78" s="114"/>
      <c r="K78" s="192"/>
      <c r="L78" s="114"/>
      <c r="M78" s="192"/>
      <c r="N78" s="114"/>
      <c r="O78" s="192"/>
      <c r="P78" s="192"/>
      <c r="Q78" s="114"/>
      <c r="R78" s="115"/>
      <c r="S78" s="116"/>
      <c r="T78" s="116"/>
      <c r="U78" s="116"/>
      <c r="V78" s="99"/>
      <c r="W78" s="99"/>
      <c r="X78" s="99"/>
      <c r="Y78" s="99"/>
      <c r="Z78" s="99"/>
      <c r="AA78" s="99"/>
      <c r="AB78" s="99"/>
      <c r="AC78" s="99"/>
      <c r="AD78" s="99"/>
      <c r="AE78" s="99"/>
    </row>
    <row r="79" spans="1:31">
      <c r="B79" s="111" t="s">
        <v>118</v>
      </c>
      <c r="C79" s="112">
        <f>SUM(C15,C24,C32,C35,C39,C45,C51,C60,C67,C70,C76)</f>
        <v>53</v>
      </c>
      <c r="D79" s="114"/>
      <c r="E79" s="114"/>
      <c r="F79" s="114"/>
      <c r="G79" s="114"/>
      <c r="H79" s="117">
        <f t="shared" ref="H79:U79" si="12">SUM(H76,H70,H67,H60,H51,H45,H39,H35,H32,H24,H15)</f>
        <v>20022</v>
      </c>
      <c r="I79" s="118">
        <f t="shared" si="12"/>
        <v>2466</v>
      </c>
      <c r="J79" s="118">
        <f t="shared" si="12"/>
        <v>5481</v>
      </c>
      <c r="K79" s="196">
        <f t="shared" si="12"/>
        <v>7947</v>
      </c>
      <c r="L79" s="114">
        <f t="shared" si="12"/>
        <v>6120</v>
      </c>
      <c r="M79" s="192">
        <f t="shared" si="12"/>
        <v>14166</v>
      </c>
      <c r="N79" s="114">
        <f t="shared" si="12"/>
        <v>621</v>
      </c>
      <c r="O79" s="192">
        <f t="shared" si="12"/>
        <v>40825</v>
      </c>
      <c r="P79" s="192">
        <f t="shared" si="12"/>
        <v>101617</v>
      </c>
      <c r="Q79" s="114"/>
      <c r="R79" s="119">
        <f t="shared" si="12"/>
        <v>1.9100000000000001</v>
      </c>
      <c r="S79" s="114">
        <f t="shared" si="12"/>
        <v>90</v>
      </c>
      <c r="T79" s="114">
        <f t="shared" si="12"/>
        <v>15</v>
      </c>
      <c r="U79" s="114">
        <f t="shared" si="12"/>
        <v>8</v>
      </c>
      <c r="V79" s="99"/>
      <c r="W79" s="99"/>
      <c r="X79" s="99"/>
      <c r="Y79" s="99"/>
      <c r="Z79" s="99"/>
      <c r="AA79" s="99"/>
      <c r="AB79" s="99"/>
      <c r="AC79" s="99"/>
      <c r="AD79" s="99"/>
      <c r="AE79" s="99"/>
    </row>
    <row r="80" spans="1:31">
      <c r="B80" s="16"/>
      <c r="C80" s="16"/>
      <c r="S80" s="84"/>
      <c r="T80" s="84"/>
      <c r="U80" s="84"/>
    </row>
    <row r="81" spans="2:21">
      <c r="B81" s="16"/>
      <c r="C81" s="16"/>
      <c r="S81" s="84"/>
      <c r="T81" s="84"/>
      <c r="U81" s="84"/>
    </row>
    <row r="82" spans="2:21">
      <c r="B82" s="16"/>
      <c r="C82" s="16"/>
      <c r="S82" s="84"/>
      <c r="T82" s="84"/>
      <c r="U82" s="84"/>
    </row>
    <row r="83" spans="2:21">
      <c r="B83" s="16"/>
      <c r="C83" s="16"/>
      <c r="S83" s="84"/>
      <c r="T83" s="84"/>
      <c r="U83" s="84"/>
    </row>
    <row r="84" spans="2:21">
      <c r="B84" s="16"/>
      <c r="C84" s="16"/>
      <c r="S84" s="84"/>
      <c r="T84" s="84"/>
      <c r="U84" s="84"/>
    </row>
    <row r="85" spans="2:21">
      <c r="B85" s="16"/>
      <c r="C85" s="16"/>
      <c r="S85" s="84"/>
      <c r="T85" s="84"/>
      <c r="U85" s="84"/>
    </row>
    <row r="86" spans="2:21">
      <c r="B86" s="16"/>
      <c r="C86" s="16"/>
      <c r="S86" s="84"/>
      <c r="T86" s="84"/>
      <c r="U86" s="84"/>
    </row>
    <row r="87" spans="2:21">
      <c r="B87" s="16"/>
      <c r="C87" s="16"/>
      <c r="S87" s="84"/>
      <c r="T87" s="84"/>
      <c r="U87" s="84"/>
    </row>
    <row r="88" spans="2:21">
      <c r="B88" s="16"/>
      <c r="C88" s="16"/>
      <c r="S88" s="84"/>
      <c r="T88" s="84"/>
      <c r="U88" s="84"/>
    </row>
    <row r="89" spans="2:21">
      <c r="B89" s="16"/>
      <c r="C89" s="16"/>
      <c r="S89" s="84"/>
      <c r="T89" s="84"/>
      <c r="U89" s="84"/>
    </row>
    <row r="90" spans="2:21">
      <c r="B90" s="16"/>
      <c r="C90" s="16"/>
      <c r="S90" s="84"/>
      <c r="T90" s="84"/>
      <c r="U90" s="84"/>
    </row>
    <row r="91" spans="2:21">
      <c r="B91" s="16"/>
      <c r="C91" s="16"/>
      <c r="S91" s="84"/>
      <c r="T91" s="84"/>
      <c r="U91" s="84"/>
    </row>
    <row r="92" spans="2:21">
      <c r="B92" s="16"/>
      <c r="C92" s="16"/>
      <c r="S92" s="84"/>
      <c r="T92" s="84"/>
      <c r="U92" s="84"/>
    </row>
    <row r="93" spans="2:21">
      <c r="B93" s="16"/>
      <c r="C93" s="16"/>
      <c r="S93" s="84"/>
      <c r="T93" s="84"/>
      <c r="U93" s="84"/>
    </row>
    <row r="94" spans="2:21">
      <c r="B94" s="16"/>
      <c r="C94" s="16"/>
      <c r="S94" s="84"/>
      <c r="T94" s="84"/>
      <c r="U94" s="84"/>
    </row>
    <row r="95" spans="2:21">
      <c r="C95" s="16"/>
      <c r="S95" s="84"/>
      <c r="T95" s="84"/>
      <c r="U95" s="84"/>
    </row>
    <row r="96" spans="2:21">
      <c r="C96" s="16"/>
      <c r="S96" s="84"/>
      <c r="T96" s="84"/>
      <c r="U96" s="84"/>
    </row>
    <row r="97" spans="19:21">
      <c r="S97" s="84"/>
      <c r="T97" s="84"/>
      <c r="U97" s="84"/>
    </row>
    <row r="98" spans="19:21">
      <c r="S98" s="84"/>
      <c r="T98" s="84"/>
      <c r="U98" s="84"/>
    </row>
    <row r="99" spans="19:21">
      <c r="S99" s="84"/>
      <c r="T99" s="84"/>
      <c r="U99" s="84"/>
    </row>
    <row r="100" spans="19:21">
      <c r="S100" s="84"/>
      <c r="T100" s="84"/>
      <c r="U100" s="84"/>
    </row>
    <row r="101" spans="19:21">
      <c r="S101" s="84"/>
      <c r="T101" s="84"/>
      <c r="U101" s="84"/>
    </row>
    <row r="102" spans="19:21">
      <c r="S102" s="84"/>
      <c r="T102" s="84"/>
      <c r="U102" s="84"/>
    </row>
    <row r="103" spans="19:21">
      <c r="S103" s="84"/>
      <c r="T103" s="84"/>
      <c r="U103" s="84"/>
    </row>
    <row r="104" spans="19:21">
      <c r="S104" s="84"/>
      <c r="T104" s="84"/>
      <c r="U104" s="84"/>
    </row>
    <row r="105" spans="19:21">
      <c r="S105" s="84"/>
      <c r="T105" s="84"/>
      <c r="U105" s="84"/>
    </row>
    <row r="106" spans="19:21">
      <c r="S106" s="84"/>
      <c r="T106" s="84"/>
      <c r="U106" s="84"/>
    </row>
    <row r="107" spans="19:21">
      <c r="S107" s="84"/>
      <c r="T107" s="84"/>
      <c r="U107" s="84"/>
    </row>
    <row r="108" spans="19:21">
      <c r="S108" s="84"/>
      <c r="T108" s="84"/>
      <c r="U108" s="84"/>
    </row>
    <row r="109" spans="19:21">
      <c r="S109" s="84"/>
      <c r="T109" s="84"/>
      <c r="U109" s="84"/>
    </row>
    <row r="110" spans="19:21">
      <c r="S110" s="84"/>
      <c r="T110" s="84"/>
      <c r="U110" s="84"/>
    </row>
    <row r="111" spans="19:21">
      <c r="S111" s="84"/>
      <c r="T111" s="84"/>
      <c r="U111" s="84"/>
    </row>
    <row r="112" spans="19:21">
      <c r="S112" s="84"/>
      <c r="T112" s="84"/>
      <c r="U112" s="84"/>
    </row>
    <row r="113" spans="19:21">
      <c r="S113" s="84"/>
      <c r="T113" s="84"/>
      <c r="U113" s="84"/>
    </row>
    <row r="114" spans="19:21">
      <c r="S114" s="84"/>
      <c r="T114" s="84"/>
      <c r="U114" s="84"/>
    </row>
    <row r="115" spans="19:21">
      <c r="S115" s="84"/>
      <c r="T115" s="84"/>
      <c r="U115" s="84"/>
    </row>
    <row r="116" spans="19:21">
      <c r="S116" s="84"/>
      <c r="T116" s="84"/>
      <c r="U116" s="84"/>
    </row>
    <row r="117" spans="19:21">
      <c r="S117" s="84"/>
      <c r="T117" s="84"/>
      <c r="U117" s="84"/>
    </row>
    <row r="118" spans="19:21">
      <c r="S118" s="84"/>
      <c r="T118" s="84"/>
      <c r="U118" s="84"/>
    </row>
    <row r="119" spans="19:21">
      <c r="S119" s="84"/>
      <c r="T119" s="84"/>
      <c r="U119" s="84"/>
    </row>
    <row r="120" spans="19:21">
      <c r="S120" s="84"/>
      <c r="T120" s="84"/>
      <c r="U120" s="84"/>
    </row>
    <row r="121" spans="19:21">
      <c r="S121" s="84"/>
      <c r="T121" s="84"/>
      <c r="U121" s="84"/>
    </row>
    <row r="122" spans="19:21">
      <c r="S122" s="84"/>
      <c r="T122" s="84"/>
      <c r="U122" s="84"/>
    </row>
    <row r="123" spans="19:21">
      <c r="S123" s="84"/>
      <c r="T123" s="84"/>
      <c r="U123" s="84"/>
    </row>
    <row r="124" spans="19:21">
      <c r="S124" s="84"/>
      <c r="T124" s="84"/>
      <c r="U124" s="84"/>
    </row>
    <row r="125" spans="19:21">
      <c r="S125" s="84"/>
      <c r="T125" s="84"/>
      <c r="U125" s="84"/>
    </row>
    <row r="126" spans="19:21">
      <c r="S126" s="84"/>
      <c r="T126" s="84"/>
      <c r="U126" s="84"/>
    </row>
    <row r="127" spans="19:21">
      <c r="S127" s="84"/>
      <c r="T127" s="84"/>
      <c r="U127" s="84"/>
    </row>
    <row r="128" spans="19:21">
      <c r="S128" s="84"/>
      <c r="T128" s="84"/>
      <c r="U128" s="84"/>
    </row>
    <row r="129" spans="19:21">
      <c r="S129" s="84"/>
      <c r="T129" s="84"/>
      <c r="U129" s="84"/>
    </row>
    <row r="130" spans="19:21">
      <c r="S130" s="84"/>
      <c r="T130" s="84"/>
      <c r="U130" s="84"/>
    </row>
    <row r="131" spans="19:21">
      <c r="S131" s="84"/>
      <c r="T131" s="84"/>
      <c r="U131" s="84"/>
    </row>
    <row r="132" spans="19:21">
      <c r="S132" s="84"/>
      <c r="T132" s="84"/>
      <c r="U132" s="84"/>
    </row>
    <row r="133" spans="19:21">
      <c r="S133" s="84"/>
      <c r="T133" s="84"/>
      <c r="U133" s="84"/>
    </row>
    <row r="134" spans="19:21">
      <c r="S134" s="84"/>
      <c r="T134" s="84"/>
      <c r="U134" s="84"/>
    </row>
    <row r="135" spans="19:21">
      <c r="S135" s="84"/>
      <c r="T135" s="84"/>
      <c r="U135" s="84"/>
    </row>
    <row r="136" spans="19:21">
      <c r="S136" s="84"/>
      <c r="T136" s="84"/>
      <c r="U136" s="84"/>
    </row>
    <row r="137" spans="19:21">
      <c r="S137" s="84"/>
      <c r="T137" s="84"/>
      <c r="U137" s="84"/>
    </row>
    <row r="138" spans="19:21">
      <c r="S138" s="84"/>
      <c r="T138" s="84"/>
      <c r="U138" s="84"/>
    </row>
    <row r="139" spans="19:21">
      <c r="S139" s="84"/>
      <c r="T139" s="84"/>
      <c r="U139" s="84"/>
    </row>
    <row r="140" spans="19:21">
      <c r="S140" s="84"/>
      <c r="T140" s="84"/>
      <c r="U140" s="84"/>
    </row>
    <row r="141" spans="19:21">
      <c r="S141" s="84"/>
      <c r="T141" s="84"/>
      <c r="U141" s="84"/>
    </row>
    <row r="142" spans="19:21">
      <c r="S142" s="84"/>
      <c r="T142" s="84"/>
      <c r="U142" s="84"/>
    </row>
    <row r="143" spans="19:21">
      <c r="S143" s="84"/>
      <c r="T143" s="84"/>
      <c r="U143" s="84"/>
    </row>
    <row r="144" spans="19:21">
      <c r="S144" s="84"/>
      <c r="T144" s="84"/>
      <c r="U144" s="84"/>
    </row>
    <row r="145" spans="19:21">
      <c r="S145" s="84"/>
      <c r="T145" s="84"/>
      <c r="U145" s="84"/>
    </row>
    <row r="146" spans="19:21">
      <c r="S146" s="84"/>
      <c r="T146" s="84"/>
      <c r="U146" s="84"/>
    </row>
    <row r="147" spans="19:21">
      <c r="S147" s="84"/>
      <c r="T147" s="84"/>
      <c r="U147" s="84"/>
    </row>
    <row r="148" spans="19:21">
      <c r="S148" s="84"/>
      <c r="T148" s="84"/>
      <c r="U148" s="84"/>
    </row>
    <row r="149" spans="19:21">
      <c r="S149" s="84"/>
      <c r="T149" s="84"/>
      <c r="U149" s="84"/>
    </row>
    <row r="150" spans="19:21">
      <c r="S150" s="84"/>
      <c r="T150" s="84"/>
      <c r="U150" s="84"/>
    </row>
    <row r="151" spans="19:21">
      <c r="S151" s="84"/>
      <c r="T151" s="84"/>
      <c r="U151" s="84"/>
    </row>
    <row r="152" spans="19:21">
      <c r="S152" s="84"/>
      <c r="T152" s="84"/>
      <c r="U152" s="84"/>
    </row>
    <row r="153" spans="19:21">
      <c r="S153" s="84"/>
      <c r="T153" s="84"/>
      <c r="U153" s="84"/>
    </row>
    <row r="154" spans="19:21">
      <c r="S154" s="84"/>
      <c r="T154" s="84"/>
      <c r="U154" s="84"/>
    </row>
    <row r="155" spans="19:21">
      <c r="S155" s="84"/>
      <c r="T155" s="84"/>
      <c r="U155" s="84"/>
    </row>
    <row r="156" spans="19:21">
      <c r="S156" s="84"/>
      <c r="T156" s="84"/>
      <c r="U156" s="84"/>
    </row>
    <row r="157" spans="19:21">
      <c r="S157" s="84"/>
      <c r="T157" s="84"/>
      <c r="U157" s="84"/>
    </row>
    <row r="158" spans="19:21">
      <c r="S158" s="84"/>
      <c r="T158" s="84"/>
      <c r="U158" s="84"/>
    </row>
    <row r="159" spans="19:21">
      <c r="S159" s="84"/>
      <c r="T159" s="84"/>
      <c r="U159" s="84"/>
    </row>
    <row r="160" spans="19:21">
      <c r="S160" s="84"/>
      <c r="T160" s="84"/>
      <c r="U160" s="84"/>
    </row>
    <row r="161" spans="19:21">
      <c r="S161" s="84"/>
      <c r="T161" s="84"/>
      <c r="U161" s="84"/>
    </row>
    <row r="162" spans="19:21">
      <c r="S162" s="84"/>
      <c r="T162" s="84"/>
      <c r="U162" s="84"/>
    </row>
    <row r="163" spans="19:21">
      <c r="S163" s="84"/>
      <c r="T163" s="84"/>
      <c r="U163" s="84"/>
    </row>
    <row r="164" spans="19:21">
      <c r="S164" s="84"/>
      <c r="T164" s="84"/>
      <c r="U164" s="84"/>
    </row>
    <row r="165" spans="19:21">
      <c r="S165" s="84"/>
      <c r="T165" s="84"/>
      <c r="U165" s="84"/>
    </row>
    <row r="166" spans="19:21">
      <c r="S166" s="84"/>
      <c r="T166" s="84"/>
      <c r="U166" s="84"/>
    </row>
    <row r="167" spans="19:21">
      <c r="S167" s="84"/>
      <c r="T167" s="84"/>
      <c r="U167" s="84"/>
    </row>
    <row r="168" spans="19:21">
      <c r="S168" s="84"/>
      <c r="T168" s="84"/>
      <c r="U168" s="84"/>
    </row>
    <row r="169" spans="19:21">
      <c r="S169" s="84"/>
      <c r="T169" s="84"/>
      <c r="U169" s="84"/>
    </row>
    <row r="170" spans="19:21">
      <c r="S170" s="84"/>
      <c r="T170" s="84"/>
      <c r="U170" s="84"/>
    </row>
    <row r="171" spans="19:21">
      <c r="S171" s="84"/>
      <c r="T171" s="84"/>
      <c r="U171" s="84"/>
    </row>
    <row r="172" spans="19:21">
      <c r="S172" s="84"/>
      <c r="T172" s="84"/>
      <c r="U172" s="84"/>
    </row>
    <row r="173" spans="19:21">
      <c r="S173" s="84"/>
      <c r="T173" s="84"/>
      <c r="U173" s="84"/>
    </row>
    <row r="174" spans="19:21">
      <c r="S174" s="84"/>
      <c r="T174" s="84"/>
      <c r="U174" s="84"/>
    </row>
    <row r="175" spans="19:21">
      <c r="S175" s="84"/>
      <c r="T175" s="84"/>
      <c r="U175" s="84"/>
    </row>
    <row r="176" spans="19:21">
      <c r="S176" s="84"/>
      <c r="T176" s="84"/>
      <c r="U176" s="84"/>
    </row>
    <row r="177" spans="19:21">
      <c r="S177" s="84"/>
      <c r="T177" s="84"/>
      <c r="U177" s="84"/>
    </row>
    <row r="178" spans="19:21">
      <c r="S178" s="84"/>
      <c r="T178" s="84"/>
      <c r="U178" s="84"/>
    </row>
    <row r="179" spans="19:21">
      <c r="S179" s="84"/>
      <c r="T179" s="84"/>
      <c r="U179" s="84"/>
    </row>
    <row r="180" spans="19:21">
      <c r="S180" s="84"/>
      <c r="T180" s="84"/>
      <c r="U180" s="84"/>
    </row>
    <row r="181" spans="19:21">
      <c r="S181" s="84"/>
      <c r="T181" s="84"/>
      <c r="U181" s="84"/>
    </row>
    <row r="182" spans="19:21">
      <c r="S182" s="84"/>
      <c r="T182" s="84"/>
      <c r="U182" s="84"/>
    </row>
    <row r="183" spans="19:21">
      <c r="S183" s="84"/>
      <c r="T183" s="84"/>
      <c r="U183" s="84"/>
    </row>
    <row r="184" spans="19:21">
      <c r="S184" s="84"/>
      <c r="T184" s="84"/>
      <c r="U184" s="84"/>
    </row>
    <row r="185" spans="19:21">
      <c r="S185" s="84"/>
      <c r="T185" s="84"/>
      <c r="U185" s="84"/>
    </row>
    <row r="186" spans="19:21">
      <c r="S186" s="84"/>
      <c r="T186" s="84"/>
      <c r="U186" s="84"/>
    </row>
    <row r="187" spans="19:21">
      <c r="S187" s="84"/>
      <c r="T187" s="84"/>
      <c r="U187" s="84"/>
    </row>
    <row r="188" spans="19:21">
      <c r="S188" s="84"/>
      <c r="T188" s="84"/>
      <c r="U188" s="84"/>
    </row>
    <row r="189" spans="19:21">
      <c r="S189" s="84"/>
      <c r="T189" s="84"/>
      <c r="U189" s="84"/>
    </row>
    <row r="190" spans="19:21">
      <c r="S190" s="84"/>
      <c r="T190" s="84"/>
      <c r="U190" s="84"/>
    </row>
    <row r="191" spans="19:21">
      <c r="S191" s="84"/>
      <c r="T191" s="84"/>
      <c r="U191" s="84"/>
    </row>
    <row r="192" spans="19:21">
      <c r="S192" s="84"/>
      <c r="T192" s="84"/>
      <c r="U192" s="84"/>
    </row>
    <row r="193" spans="19:21">
      <c r="S193" s="84"/>
      <c r="T193" s="84"/>
      <c r="U193" s="84"/>
    </row>
    <row r="194" spans="19:21">
      <c r="S194" s="84"/>
      <c r="T194" s="84"/>
      <c r="U194" s="84"/>
    </row>
    <row r="195" spans="19:21">
      <c r="S195" s="84"/>
      <c r="T195" s="84"/>
      <c r="U195" s="84"/>
    </row>
    <row r="196" spans="19:21">
      <c r="S196" s="84"/>
      <c r="T196" s="84"/>
      <c r="U196" s="84"/>
    </row>
    <row r="197" spans="19:21">
      <c r="S197" s="84"/>
      <c r="T197" s="84"/>
      <c r="U197" s="84"/>
    </row>
    <row r="198" spans="19:21">
      <c r="S198" s="84"/>
      <c r="T198" s="84"/>
      <c r="U198" s="84"/>
    </row>
    <row r="199" spans="19:21">
      <c r="S199" s="84"/>
      <c r="T199" s="84"/>
      <c r="U199" s="84"/>
    </row>
    <row r="200" spans="19:21">
      <c r="S200" s="84"/>
      <c r="T200" s="84"/>
      <c r="U200" s="84"/>
    </row>
    <row r="201" spans="19:21">
      <c r="S201" s="84"/>
      <c r="T201" s="84"/>
      <c r="U201" s="84"/>
    </row>
    <row r="202" spans="19:21">
      <c r="S202" s="84"/>
      <c r="T202" s="84"/>
      <c r="U202" s="84"/>
    </row>
    <row r="203" spans="19:21">
      <c r="S203" s="84"/>
      <c r="T203" s="84"/>
      <c r="U203" s="84"/>
    </row>
    <row r="204" spans="19:21">
      <c r="S204" s="84"/>
      <c r="T204" s="84"/>
      <c r="U204" s="84"/>
    </row>
    <row r="205" spans="19:21">
      <c r="S205" s="84"/>
      <c r="T205" s="84"/>
      <c r="U205" s="84"/>
    </row>
    <row r="206" spans="19:21">
      <c r="S206" s="84"/>
      <c r="T206" s="84"/>
      <c r="U206" s="84"/>
    </row>
    <row r="207" spans="19:21">
      <c r="S207" s="84"/>
      <c r="T207" s="84"/>
      <c r="U207" s="84"/>
    </row>
    <row r="208" spans="19:21">
      <c r="S208" s="84"/>
      <c r="T208" s="84"/>
      <c r="U208" s="84"/>
    </row>
    <row r="209" spans="19:21">
      <c r="S209" s="84"/>
      <c r="T209" s="84"/>
      <c r="U209" s="84"/>
    </row>
    <row r="210" spans="19:21">
      <c r="S210" s="84"/>
      <c r="T210" s="84"/>
      <c r="U210" s="84"/>
    </row>
    <row r="211" spans="19:21">
      <c r="S211" s="84"/>
      <c r="T211" s="84"/>
      <c r="U211" s="84"/>
    </row>
    <row r="212" spans="19:21">
      <c r="S212" s="84"/>
      <c r="T212" s="84"/>
      <c r="U212" s="84"/>
    </row>
    <row r="213" spans="19:21">
      <c r="S213" s="84"/>
      <c r="T213" s="84"/>
      <c r="U213" s="84"/>
    </row>
    <row r="214" spans="19:21">
      <c r="S214" s="84"/>
      <c r="T214" s="84"/>
      <c r="U214" s="84"/>
    </row>
    <row r="215" spans="19:21">
      <c r="S215" s="84"/>
      <c r="T215" s="84"/>
      <c r="U215" s="84"/>
    </row>
    <row r="216" spans="19:21">
      <c r="S216" s="84"/>
      <c r="T216" s="84"/>
      <c r="U216" s="84"/>
    </row>
    <row r="217" spans="19:21">
      <c r="S217" s="84"/>
      <c r="T217" s="84"/>
      <c r="U217" s="84"/>
    </row>
    <row r="218" spans="19:21">
      <c r="S218" s="84"/>
      <c r="T218" s="84"/>
      <c r="U218" s="84"/>
    </row>
    <row r="219" spans="19:21">
      <c r="S219" s="84"/>
      <c r="T219" s="84"/>
      <c r="U219" s="84"/>
    </row>
    <row r="220" spans="19:21">
      <c r="S220" s="84"/>
      <c r="T220" s="84"/>
      <c r="U220" s="84"/>
    </row>
    <row r="221" spans="19:21">
      <c r="S221" s="84"/>
      <c r="T221" s="84"/>
      <c r="U221" s="84"/>
    </row>
    <row r="222" spans="19:21">
      <c r="S222" s="84"/>
      <c r="T222" s="84"/>
      <c r="U222" s="84"/>
    </row>
    <row r="223" spans="19:21">
      <c r="S223" s="84"/>
      <c r="T223" s="84"/>
      <c r="U223" s="84"/>
    </row>
    <row r="224" spans="19:21">
      <c r="S224" s="84"/>
      <c r="T224" s="84"/>
      <c r="U224" s="84"/>
    </row>
    <row r="225" spans="19:21">
      <c r="S225" s="84"/>
      <c r="T225" s="84"/>
      <c r="U225" s="84"/>
    </row>
    <row r="226" spans="19:21">
      <c r="S226" s="84"/>
      <c r="T226" s="84"/>
      <c r="U226" s="84"/>
    </row>
    <row r="227" spans="19:21">
      <c r="S227" s="84"/>
      <c r="T227" s="84"/>
      <c r="U227" s="84"/>
    </row>
    <row r="228" spans="19:21">
      <c r="S228" s="84"/>
      <c r="T228" s="84"/>
      <c r="U228" s="84"/>
    </row>
    <row r="229" spans="19:21">
      <c r="S229" s="84"/>
      <c r="T229" s="84"/>
      <c r="U229" s="84"/>
    </row>
    <row r="230" spans="19:21">
      <c r="S230" s="84"/>
      <c r="T230" s="84"/>
      <c r="U230" s="84"/>
    </row>
    <row r="231" spans="19:21">
      <c r="S231" s="84"/>
      <c r="T231" s="84"/>
      <c r="U231" s="84"/>
    </row>
    <row r="232" spans="19:21">
      <c r="S232" s="84"/>
      <c r="T232" s="84"/>
      <c r="U232" s="84"/>
    </row>
    <row r="233" spans="19:21">
      <c r="S233" s="84"/>
      <c r="T233" s="84"/>
      <c r="U233" s="84"/>
    </row>
    <row r="234" spans="19:21">
      <c r="S234" s="84"/>
      <c r="T234" s="84"/>
      <c r="U234" s="84"/>
    </row>
    <row r="235" spans="19:21">
      <c r="S235" s="84"/>
      <c r="T235" s="84"/>
      <c r="U235" s="84"/>
    </row>
    <row r="236" spans="19:21">
      <c r="S236" s="84"/>
      <c r="T236" s="84"/>
      <c r="U236" s="84"/>
    </row>
    <row r="237" spans="19:21">
      <c r="S237" s="84"/>
      <c r="T237" s="84"/>
      <c r="U237" s="84"/>
    </row>
    <row r="238" spans="19:21">
      <c r="S238" s="84"/>
      <c r="T238" s="84"/>
      <c r="U238" s="84"/>
    </row>
    <row r="239" spans="19:21">
      <c r="S239" s="84"/>
      <c r="T239" s="84"/>
      <c r="U239" s="84"/>
    </row>
    <row r="240" spans="19:21">
      <c r="S240" s="84"/>
      <c r="T240" s="84"/>
      <c r="U240" s="84"/>
    </row>
    <row r="241" spans="19:21">
      <c r="S241" s="84"/>
      <c r="T241" s="84"/>
      <c r="U241" s="84"/>
    </row>
    <row r="242" spans="19:21">
      <c r="S242" s="84"/>
      <c r="T242" s="84"/>
      <c r="U242" s="84"/>
    </row>
    <row r="243" spans="19:21">
      <c r="S243" s="84"/>
      <c r="T243" s="84"/>
      <c r="U243" s="84"/>
    </row>
    <row r="244" spans="19:21">
      <c r="S244" s="84"/>
      <c r="T244" s="84"/>
      <c r="U244" s="84"/>
    </row>
    <row r="245" spans="19:21">
      <c r="S245" s="84"/>
      <c r="T245" s="84"/>
      <c r="U245" s="84"/>
    </row>
    <row r="246" spans="19:21">
      <c r="S246" s="84"/>
      <c r="T246" s="84"/>
      <c r="U246" s="84"/>
    </row>
    <row r="247" spans="19:21">
      <c r="S247" s="84"/>
      <c r="T247" s="84"/>
      <c r="U247" s="84"/>
    </row>
    <row r="248" spans="19:21">
      <c r="S248" s="84"/>
      <c r="T248" s="84"/>
      <c r="U248" s="84"/>
    </row>
    <row r="249" spans="19:21">
      <c r="S249" s="84"/>
      <c r="T249" s="84"/>
      <c r="U249" s="84"/>
    </row>
    <row r="250" spans="19:21">
      <c r="S250" s="84"/>
      <c r="T250" s="84"/>
      <c r="U250" s="84"/>
    </row>
    <row r="251" spans="19:21">
      <c r="S251" s="84"/>
      <c r="T251" s="84"/>
      <c r="U251" s="84"/>
    </row>
    <row r="252" spans="19:21">
      <c r="S252" s="84"/>
      <c r="T252" s="84"/>
      <c r="U252" s="84"/>
    </row>
    <row r="253" spans="19:21">
      <c r="S253" s="84"/>
      <c r="T253" s="84"/>
      <c r="U253" s="84"/>
    </row>
    <row r="254" spans="19:21">
      <c r="S254" s="84"/>
      <c r="T254" s="84"/>
      <c r="U254" s="84"/>
    </row>
    <row r="255" spans="19:21">
      <c r="S255" s="84"/>
      <c r="T255" s="84"/>
      <c r="U255" s="84"/>
    </row>
    <row r="256" spans="19:21">
      <c r="S256" s="84"/>
      <c r="T256" s="84"/>
      <c r="U256" s="84"/>
    </row>
    <row r="257" spans="19:21">
      <c r="S257" s="84"/>
      <c r="T257" s="84"/>
      <c r="U257" s="84"/>
    </row>
    <row r="258" spans="19:21">
      <c r="S258" s="84"/>
      <c r="T258" s="84"/>
      <c r="U258" s="84"/>
    </row>
    <row r="259" spans="19:21">
      <c r="S259" s="84"/>
      <c r="T259" s="84"/>
      <c r="U259" s="84"/>
    </row>
    <row r="260" spans="19:21">
      <c r="S260" s="84"/>
      <c r="T260" s="84"/>
      <c r="U260" s="84"/>
    </row>
    <row r="261" spans="19:21">
      <c r="S261" s="84"/>
      <c r="T261" s="84"/>
      <c r="U261" s="84"/>
    </row>
    <row r="262" spans="19:21">
      <c r="S262" s="84"/>
      <c r="T262" s="84"/>
      <c r="U262" s="84"/>
    </row>
    <row r="263" spans="19:21">
      <c r="S263" s="84"/>
      <c r="T263" s="84"/>
      <c r="U263" s="84"/>
    </row>
    <row r="264" spans="19:21">
      <c r="S264" s="84"/>
      <c r="T264" s="84"/>
      <c r="U264" s="84"/>
    </row>
    <row r="265" spans="19:21">
      <c r="S265" s="84"/>
      <c r="T265" s="84"/>
      <c r="U265" s="84"/>
    </row>
    <row r="266" spans="19:21">
      <c r="S266" s="84"/>
      <c r="T266" s="84"/>
      <c r="U266" s="84"/>
    </row>
    <row r="267" spans="19:21">
      <c r="S267" s="84"/>
      <c r="T267" s="84"/>
      <c r="U267" s="84"/>
    </row>
    <row r="268" spans="19:21">
      <c r="S268" s="84"/>
      <c r="T268" s="84"/>
      <c r="U268" s="84"/>
    </row>
    <row r="269" spans="19:21">
      <c r="S269" s="84"/>
      <c r="T269" s="84"/>
      <c r="U269" s="84"/>
    </row>
    <row r="270" spans="19:21">
      <c r="S270" s="84"/>
      <c r="T270" s="84"/>
      <c r="U270" s="84"/>
    </row>
    <row r="271" spans="19:21">
      <c r="S271" s="84"/>
      <c r="T271" s="84"/>
      <c r="U271" s="84"/>
    </row>
    <row r="272" spans="19:21">
      <c r="S272" s="84"/>
      <c r="T272" s="84"/>
      <c r="U272" s="84"/>
    </row>
    <row r="273" spans="19:21">
      <c r="S273" s="84"/>
      <c r="T273" s="84"/>
      <c r="U273" s="84"/>
    </row>
    <row r="274" spans="19:21">
      <c r="S274" s="84"/>
      <c r="T274" s="84"/>
      <c r="U274" s="84"/>
    </row>
    <row r="275" spans="19:21">
      <c r="S275" s="84"/>
      <c r="T275" s="84"/>
      <c r="U275" s="84"/>
    </row>
    <row r="276" spans="19:21">
      <c r="S276" s="84"/>
      <c r="T276" s="84"/>
      <c r="U276" s="84"/>
    </row>
    <row r="277" spans="19:21">
      <c r="S277" s="84"/>
      <c r="T277" s="84"/>
      <c r="U277" s="84"/>
    </row>
    <row r="278" spans="19:21">
      <c r="S278" s="84"/>
      <c r="T278" s="84"/>
      <c r="U278" s="84"/>
    </row>
    <row r="279" spans="19:21">
      <c r="S279" s="84"/>
      <c r="T279" s="84"/>
      <c r="U279" s="84"/>
    </row>
    <row r="280" spans="19:21">
      <c r="S280" s="84"/>
      <c r="T280" s="84"/>
      <c r="U280" s="84"/>
    </row>
    <row r="281" spans="19:21">
      <c r="S281" s="84"/>
      <c r="T281" s="84"/>
      <c r="U281" s="84"/>
    </row>
    <row r="282" spans="19:21">
      <c r="S282" s="84"/>
      <c r="T282" s="84"/>
      <c r="U282" s="84"/>
    </row>
    <row r="283" spans="19:21">
      <c r="S283" s="84"/>
      <c r="T283" s="84"/>
      <c r="U283" s="84"/>
    </row>
    <row r="284" spans="19:21">
      <c r="S284" s="84"/>
      <c r="T284" s="84"/>
      <c r="U284" s="84"/>
    </row>
    <row r="285" spans="19:21">
      <c r="S285" s="84"/>
      <c r="T285" s="84"/>
      <c r="U285" s="84"/>
    </row>
    <row r="286" spans="19:21">
      <c r="S286" s="84"/>
      <c r="T286" s="84"/>
      <c r="U286" s="84"/>
    </row>
    <row r="287" spans="19:21">
      <c r="S287" s="84"/>
      <c r="T287" s="84"/>
      <c r="U287" s="84"/>
    </row>
    <row r="288" spans="19:21">
      <c r="S288" s="84"/>
      <c r="T288" s="84"/>
      <c r="U288" s="84"/>
    </row>
    <row r="289" spans="19:21">
      <c r="S289" s="84"/>
      <c r="T289" s="84"/>
      <c r="U289" s="84"/>
    </row>
    <row r="290" spans="19:21">
      <c r="S290" s="84"/>
      <c r="T290" s="84"/>
      <c r="U290" s="84"/>
    </row>
    <row r="291" spans="19:21">
      <c r="S291" s="84"/>
      <c r="T291" s="84"/>
      <c r="U291" s="84"/>
    </row>
    <row r="292" spans="19:21">
      <c r="S292" s="84"/>
      <c r="T292" s="84"/>
      <c r="U292" s="84"/>
    </row>
    <row r="293" spans="19:21">
      <c r="S293" s="84"/>
      <c r="T293" s="84"/>
      <c r="U293" s="84"/>
    </row>
    <row r="294" spans="19:21">
      <c r="S294" s="84"/>
      <c r="T294" s="84"/>
      <c r="U294" s="84"/>
    </row>
    <row r="295" spans="19:21">
      <c r="S295" s="84"/>
      <c r="T295" s="84"/>
      <c r="U295" s="84"/>
    </row>
    <row r="296" spans="19:21">
      <c r="S296" s="84"/>
      <c r="T296" s="84"/>
      <c r="U296" s="84"/>
    </row>
    <row r="297" spans="19:21">
      <c r="S297" s="84"/>
      <c r="T297" s="84"/>
      <c r="U297" s="84"/>
    </row>
    <row r="298" spans="19:21">
      <c r="S298" s="84"/>
      <c r="T298" s="84"/>
      <c r="U298" s="84"/>
    </row>
    <row r="299" spans="19:21">
      <c r="S299" s="84"/>
      <c r="T299" s="84"/>
      <c r="U299" s="84"/>
    </row>
    <row r="300" spans="19:21">
      <c r="S300" s="84"/>
      <c r="T300" s="84"/>
      <c r="U300" s="84"/>
    </row>
    <row r="301" spans="19:21">
      <c r="S301" s="84"/>
      <c r="T301" s="84"/>
      <c r="U301" s="84"/>
    </row>
    <row r="302" spans="19:21">
      <c r="S302" s="84"/>
      <c r="T302" s="84"/>
      <c r="U302" s="84"/>
    </row>
    <row r="303" spans="19:21">
      <c r="S303" s="84"/>
      <c r="T303" s="84"/>
      <c r="U303" s="84"/>
    </row>
    <row r="304" spans="19:21">
      <c r="S304" s="84"/>
      <c r="T304" s="84"/>
      <c r="U304" s="84"/>
    </row>
    <row r="305" spans="19:21">
      <c r="S305" s="84"/>
      <c r="T305" s="84"/>
      <c r="U305" s="84"/>
    </row>
    <row r="306" spans="19:21">
      <c r="S306" s="84"/>
      <c r="T306" s="84"/>
      <c r="U306" s="84"/>
    </row>
    <row r="307" spans="19:21">
      <c r="S307" s="84"/>
      <c r="T307" s="84"/>
      <c r="U307" s="84"/>
    </row>
    <row r="308" spans="19:21">
      <c r="S308" s="84"/>
      <c r="T308" s="84"/>
      <c r="U308" s="84"/>
    </row>
    <row r="309" spans="19:21">
      <c r="S309" s="84"/>
      <c r="T309" s="84"/>
      <c r="U309" s="84"/>
    </row>
    <row r="310" spans="19:21">
      <c r="S310" s="84"/>
      <c r="T310" s="84"/>
      <c r="U310" s="84"/>
    </row>
    <row r="311" spans="19:21">
      <c r="S311" s="84"/>
      <c r="T311" s="84"/>
      <c r="U311" s="84"/>
    </row>
    <row r="312" spans="19:21">
      <c r="S312" s="84"/>
      <c r="T312" s="84"/>
      <c r="U312" s="84"/>
    </row>
    <row r="313" spans="19:21">
      <c r="S313" s="84"/>
      <c r="T313" s="84"/>
      <c r="U313" s="84"/>
    </row>
    <row r="314" spans="19:21">
      <c r="S314" s="84"/>
      <c r="T314" s="84"/>
      <c r="U314" s="84"/>
    </row>
    <row r="315" spans="19:21">
      <c r="S315" s="84"/>
      <c r="T315" s="84"/>
      <c r="U315" s="84"/>
    </row>
    <row r="316" spans="19:21">
      <c r="S316" s="84"/>
      <c r="T316" s="84"/>
      <c r="U316" s="84"/>
    </row>
    <row r="317" spans="19:21">
      <c r="S317" s="84"/>
      <c r="T317" s="84"/>
      <c r="U317" s="84"/>
    </row>
    <row r="318" spans="19:21">
      <c r="S318" s="84"/>
      <c r="T318" s="84"/>
      <c r="U318" s="84"/>
    </row>
    <row r="319" spans="19:21">
      <c r="S319" s="84"/>
      <c r="T319" s="84"/>
      <c r="U319" s="84"/>
    </row>
    <row r="320" spans="19:21">
      <c r="S320" s="84"/>
      <c r="T320" s="84"/>
      <c r="U320" s="84"/>
    </row>
    <row r="321" spans="19:21">
      <c r="S321" s="84"/>
      <c r="T321" s="84"/>
      <c r="U321" s="84"/>
    </row>
    <row r="322" spans="19:21">
      <c r="S322" s="84"/>
      <c r="T322" s="84"/>
      <c r="U322" s="84"/>
    </row>
    <row r="323" spans="19:21">
      <c r="S323" s="84"/>
      <c r="T323" s="84"/>
      <c r="U323" s="84"/>
    </row>
    <row r="324" spans="19:21">
      <c r="S324" s="84"/>
      <c r="T324" s="84"/>
      <c r="U324" s="84"/>
    </row>
    <row r="325" spans="19:21">
      <c r="S325" s="84"/>
      <c r="T325" s="84"/>
      <c r="U325" s="84"/>
    </row>
    <row r="326" spans="19:21">
      <c r="S326" s="84"/>
      <c r="T326" s="84"/>
      <c r="U326" s="84"/>
    </row>
    <row r="327" spans="19:21">
      <c r="S327" s="84"/>
      <c r="T327" s="84"/>
      <c r="U327" s="84"/>
    </row>
    <row r="328" spans="19:21">
      <c r="S328" s="84"/>
      <c r="T328" s="84"/>
      <c r="U328" s="84"/>
    </row>
    <row r="329" spans="19:21">
      <c r="S329" s="84"/>
      <c r="T329" s="84"/>
      <c r="U329" s="84"/>
    </row>
    <row r="330" spans="19:21">
      <c r="S330" s="84"/>
      <c r="T330" s="84"/>
      <c r="U330" s="84"/>
    </row>
    <row r="331" spans="19:21">
      <c r="S331" s="84"/>
      <c r="T331" s="84"/>
      <c r="U331" s="84"/>
    </row>
    <row r="332" spans="19:21">
      <c r="S332" s="84"/>
      <c r="T332" s="84"/>
      <c r="U332" s="84"/>
    </row>
    <row r="333" spans="19:21">
      <c r="S333" s="84"/>
      <c r="T333" s="84"/>
      <c r="U333" s="84"/>
    </row>
    <row r="334" spans="19:21">
      <c r="S334" s="84"/>
      <c r="T334" s="84"/>
      <c r="U334" s="84"/>
    </row>
    <row r="335" spans="19:21">
      <c r="S335" s="84"/>
      <c r="T335" s="84"/>
      <c r="U335" s="84"/>
    </row>
    <row r="336" spans="19:21">
      <c r="S336" s="84"/>
      <c r="T336" s="84"/>
      <c r="U336" s="84"/>
    </row>
    <row r="337" spans="19:21">
      <c r="S337" s="84"/>
      <c r="T337" s="84"/>
      <c r="U337" s="84"/>
    </row>
    <row r="338" spans="19:21">
      <c r="S338" s="84"/>
      <c r="T338" s="84"/>
      <c r="U338" s="84"/>
    </row>
    <row r="339" spans="19:21">
      <c r="S339" s="84"/>
      <c r="T339" s="84"/>
      <c r="U339" s="84"/>
    </row>
    <row r="340" spans="19:21">
      <c r="S340" s="84"/>
      <c r="T340" s="84"/>
      <c r="U340" s="84"/>
    </row>
    <row r="341" spans="19:21">
      <c r="S341" s="84"/>
      <c r="T341" s="84"/>
      <c r="U341" s="84"/>
    </row>
    <row r="342" spans="19:21">
      <c r="S342" s="84"/>
      <c r="T342" s="84"/>
      <c r="U342" s="84"/>
    </row>
    <row r="343" spans="19:21">
      <c r="S343" s="84"/>
      <c r="T343" s="84"/>
      <c r="U343" s="84"/>
    </row>
    <row r="344" spans="19:21">
      <c r="S344" s="84"/>
      <c r="T344" s="84"/>
      <c r="U344" s="84"/>
    </row>
    <row r="345" spans="19:21">
      <c r="S345" s="84"/>
      <c r="T345" s="84"/>
      <c r="U345" s="84"/>
    </row>
    <row r="346" spans="19:21">
      <c r="S346" s="84"/>
      <c r="T346" s="84"/>
      <c r="U346" s="84"/>
    </row>
    <row r="347" spans="19:21">
      <c r="S347" s="84"/>
      <c r="T347" s="84"/>
      <c r="U347" s="84"/>
    </row>
    <row r="348" spans="19:21">
      <c r="S348" s="84"/>
      <c r="T348" s="84"/>
      <c r="U348" s="84"/>
    </row>
    <row r="349" spans="19:21">
      <c r="S349" s="84"/>
      <c r="T349" s="84"/>
      <c r="U349" s="84"/>
    </row>
    <row r="350" spans="19:21">
      <c r="S350" s="84"/>
      <c r="T350" s="84"/>
      <c r="U350" s="84"/>
    </row>
    <row r="351" spans="19:21">
      <c r="S351" s="84"/>
      <c r="T351" s="84"/>
      <c r="U351" s="84"/>
    </row>
    <row r="352" spans="19:21">
      <c r="S352" s="84"/>
      <c r="T352" s="84"/>
      <c r="U352" s="84"/>
    </row>
    <row r="353" spans="19:21">
      <c r="S353" s="84"/>
      <c r="T353" s="84"/>
      <c r="U353" s="84"/>
    </row>
    <row r="354" spans="19:21">
      <c r="S354" s="84"/>
      <c r="T354" s="84"/>
      <c r="U354" s="84"/>
    </row>
    <row r="355" spans="19:21">
      <c r="S355" s="84"/>
      <c r="T355" s="84"/>
      <c r="U355" s="84"/>
    </row>
    <row r="356" spans="19:21">
      <c r="S356" s="84"/>
      <c r="T356" s="84"/>
      <c r="U356" s="84"/>
    </row>
    <row r="357" spans="19:21">
      <c r="S357" s="84"/>
      <c r="T357" s="84"/>
      <c r="U357" s="84"/>
    </row>
    <row r="358" spans="19:21">
      <c r="S358" s="84"/>
      <c r="T358" s="84"/>
      <c r="U358" s="84"/>
    </row>
    <row r="359" spans="19:21">
      <c r="S359" s="84"/>
      <c r="T359" s="84"/>
      <c r="U359" s="84"/>
    </row>
    <row r="360" spans="19:21">
      <c r="S360" s="84"/>
      <c r="T360" s="84"/>
      <c r="U360" s="84"/>
    </row>
    <row r="361" spans="19:21">
      <c r="S361" s="84"/>
      <c r="T361" s="84"/>
      <c r="U361" s="84"/>
    </row>
    <row r="362" spans="19:21">
      <c r="S362" s="84"/>
      <c r="T362" s="84"/>
      <c r="U362" s="84"/>
    </row>
    <row r="363" spans="19:21">
      <c r="S363" s="84"/>
      <c r="T363" s="84"/>
      <c r="U363" s="84"/>
    </row>
    <row r="364" spans="19:21">
      <c r="S364" s="84"/>
      <c r="T364" s="84"/>
      <c r="U364" s="84"/>
    </row>
    <row r="365" spans="19:21">
      <c r="S365" s="84"/>
      <c r="T365" s="84"/>
      <c r="U365" s="84"/>
    </row>
    <row r="366" spans="19:21">
      <c r="S366" s="84"/>
      <c r="T366" s="84"/>
      <c r="U366" s="84"/>
    </row>
    <row r="367" spans="19:21">
      <c r="S367" s="84"/>
      <c r="T367" s="84"/>
      <c r="U367" s="84"/>
    </row>
    <row r="368" spans="19:21">
      <c r="S368" s="84"/>
      <c r="T368" s="84"/>
      <c r="U368" s="84"/>
    </row>
    <row r="369" spans="19:21">
      <c r="S369" s="84"/>
      <c r="T369" s="84"/>
      <c r="U369" s="84"/>
    </row>
    <row r="370" spans="19:21">
      <c r="S370" s="84"/>
      <c r="T370" s="84"/>
      <c r="U370" s="84"/>
    </row>
    <row r="371" spans="19:21">
      <c r="S371" s="84"/>
      <c r="T371" s="84"/>
      <c r="U371" s="84"/>
    </row>
    <row r="372" spans="19:21">
      <c r="S372" s="84"/>
      <c r="T372" s="84"/>
      <c r="U372" s="84"/>
    </row>
    <row r="373" spans="19:21">
      <c r="S373" s="84"/>
      <c r="T373" s="84"/>
      <c r="U373" s="84"/>
    </row>
    <row r="374" spans="19:21">
      <c r="S374" s="84"/>
      <c r="T374" s="84"/>
      <c r="U374" s="84"/>
    </row>
    <row r="375" spans="19:21">
      <c r="S375" s="84"/>
      <c r="T375" s="84"/>
      <c r="U375" s="84"/>
    </row>
    <row r="376" spans="19:21">
      <c r="S376" s="84"/>
      <c r="T376" s="84"/>
      <c r="U376" s="84"/>
    </row>
    <row r="377" spans="19:21">
      <c r="S377" s="84"/>
      <c r="T377" s="84"/>
      <c r="U377" s="84"/>
    </row>
    <row r="378" spans="19:21">
      <c r="S378" s="84"/>
      <c r="T378" s="84"/>
      <c r="U378" s="84"/>
    </row>
    <row r="379" spans="19:21">
      <c r="S379" s="84"/>
      <c r="T379" s="84"/>
      <c r="U379" s="84"/>
    </row>
    <row r="380" spans="19:21">
      <c r="S380" s="84"/>
      <c r="T380" s="84"/>
      <c r="U380" s="84"/>
    </row>
    <row r="381" spans="19:21">
      <c r="S381" s="84"/>
      <c r="T381" s="84"/>
      <c r="U381" s="84"/>
    </row>
    <row r="382" spans="19:21">
      <c r="S382" s="84"/>
      <c r="T382" s="84"/>
      <c r="U382" s="84"/>
    </row>
    <row r="383" spans="19:21">
      <c r="S383" s="84"/>
      <c r="T383" s="84"/>
      <c r="U383" s="84"/>
    </row>
    <row r="384" spans="19:21">
      <c r="S384" s="84"/>
      <c r="T384" s="84"/>
      <c r="U384" s="84"/>
    </row>
    <row r="385" spans="19:21">
      <c r="S385" s="84"/>
      <c r="T385" s="84"/>
      <c r="U385" s="84"/>
    </row>
    <row r="386" spans="19:21">
      <c r="S386" s="84"/>
      <c r="T386" s="84"/>
      <c r="U386" s="84"/>
    </row>
    <row r="387" spans="19:21">
      <c r="S387" s="84"/>
      <c r="T387" s="84"/>
      <c r="U387" s="84"/>
    </row>
    <row r="388" spans="19:21">
      <c r="S388" s="84"/>
      <c r="T388" s="84"/>
      <c r="U388" s="84"/>
    </row>
    <row r="389" spans="19:21">
      <c r="S389" s="84"/>
      <c r="T389" s="84"/>
      <c r="U389" s="84"/>
    </row>
    <row r="390" spans="19:21">
      <c r="S390" s="84"/>
      <c r="T390" s="84"/>
      <c r="U390" s="84"/>
    </row>
    <row r="391" spans="19:21">
      <c r="S391" s="84"/>
      <c r="T391" s="84"/>
      <c r="U391" s="84"/>
    </row>
    <row r="392" spans="19:21">
      <c r="S392" s="84"/>
      <c r="T392" s="84"/>
      <c r="U392" s="84"/>
    </row>
    <row r="393" spans="19:21">
      <c r="S393" s="84"/>
      <c r="T393" s="84"/>
      <c r="U393" s="84"/>
    </row>
    <row r="394" spans="19:21">
      <c r="S394" s="84"/>
      <c r="T394" s="84"/>
      <c r="U394" s="84"/>
    </row>
    <row r="395" spans="19:21">
      <c r="S395" s="84"/>
      <c r="T395" s="84"/>
      <c r="U395" s="84"/>
    </row>
    <row r="396" spans="19:21">
      <c r="S396" s="84"/>
      <c r="T396" s="84"/>
      <c r="U396" s="84"/>
    </row>
    <row r="397" spans="19:21">
      <c r="S397" s="84"/>
      <c r="T397" s="84"/>
      <c r="U397" s="84"/>
    </row>
    <row r="398" spans="19:21">
      <c r="S398" s="84"/>
      <c r="T398" s="84"/>
      <c r="U398" s="84"/>
    </row>
    <row r="399" spans="19:21">
      <c r="S399" s="84"/>
      <c r="T399" s="84"/>
      <c r="U399" s="84"/>
    </row>
    <row r="400" spans="19:21">
      <c r="S400" s="84"/>
      <c r="T400" s="84"/>
      <c r="U400" s="84"/>
    </row>
    <row r="401" spans="19:21">
      <c r="S401" s="84"/>
      <c r="T401" s="84"/>
      <c r="U401" s="84"/>
    </row>
    <row r="402" spans="19:21">
      <c r="S402" s="84"/>
      <c r="T402" s="84"/>
      <c r="U402" s="84"/>
    </row>
    <row r="403" spans="19:21">
      <c r="S403" s="84"/>
      <c r="T403" s="84"/>
      <c r="U403" s="84"/>
    </row>
    <row r="404" spans="19:21">
      <c r="S404" s="84"/>
      <c r="T404" s="84"/>
      <c r="U404" s="84"/>
    </row>
    <row r="405" spans="19:21">
      <c r="S405" s="84"/>
      <c r="T405" s="84"/>
      <c r="U405" s="84"/>
    </row>
    <row r="406" spans="19:21">
      <c r="S406" s="84"/>
      <c r="T406" s="84"/>
      <c r="U406" s="84"/>
    </row>
    <row r="407" spans="19:21">
      <c r="S407" s="84"/>
      <c r="T407" s="84"/>
      <c r="U407" s="84"/>
    </row>
    <row r="408" spans="19:21">
      <c r="S408" s="84"/>
      <c r="T408" s="84"/>
      <c r="U408" s="84"/>
    </row>
    <row r="409" spans="19:21">
      <c r="S409" s="84"/>
      <c r="T409" s="84"/>
      <c r="U409" s="84"/>
    </row>
    <row r="410" spans="19:21">
      <c r="S410" s="84"/>
      <c r="T410" s="84"/>
      <c r="U410" s="84"/>
    </row>
    <row r="411" spans="19:21">
      <c r="S411" s="84"/>
      <c r="T411" s="84"/>
      <c r="U411" s="84"/>
    </row>
    <row r="412" spans="19:21">
      <c r="S412" s="84"/>
      <c r="T412" s="84"/>
      <c r="U412" s="84"/>
    </row>
    <row r="413" spans="19:21">
      <c r="S413" s="84"/>
      <c r="T413" s="84"/>
      <c r="U413" s="84"/>
    </row>
    <row r="414" spans="19:21">
      <c r="S414" s="84"/>
      <c r="T414" s="84"/>
      <c r="U414" s="84"/>
    </row>
    <row r="415" spans="19:21">
      <c r="S415" s="84"/>
      <c r="T415" s="84"/>
      <c r="U415" s="84"/>
    </row>
    <row r="416" spans="19:21">
      <c r="S416" s="84"/>
      <c r="T416" s="84"/>
      <c r="U416" s="84"/>
    </row>
    <row r="417" spans="19:21">
      <c r="S417" s="84"/>
      <c r="T417" s="84"/>
      <c r="U417" s="84"/>
    </row>
    <row r="418" spans="19:21">
      <c r="S418" s="84"/>
      <c r="T418" s="84"/>
      <c r="U418" s="84"/>
    </row>
    <row r="419" spans="19:21">
      <c r="S419" s="84"/>
      <c r="T419" s="84"/>
      <c r="U419" s="84"/>
    </row>
    <row r="420" spans="19:21">
      <c r="S420" s="84"/>
      <c r="T420" s="84"/>
      <c r="U420" s="84"/>
    </row>
    <row r="421" spans="19:21">
      <c r="S421" s="84"/>
      <c r="T421" s="84"/>
      <c r="U421" s="84"/>
    </row>
    <row r="422" spans="19:21">
      <c r="S422" s="84"/>
      <c r="T422" s="84"/>
      <c r="U422" s="84"/>
    </row>
    <row r="423" spans="19:21">
      <c r="S423" s="84"/>
      <c r="T423" s="84"/>
      <c r="U423" s="84"/>
    </row>
    <row r="424" spans="19:21">
      <c r="S424" s="84"/>
      <c r="T424" s="84"/>
      <c r="U424" s="84"/>
    </row>
    <row r="425" spans="19:21">
      <c r="S425" s="84"/>
      <c r="T425" s="84"/>
      <c r="U425" s="84"/>
    </row>
    <row r="426" spans="19:21">
      <c r="S426" s="84"/>
      <c r="T426" s="84"/>
      <c r="U426" s="84"/>
    </row>
    <row r="427" spans="19:21">
      <c r="S427" s="84"/>
      <c r="T427" s="84"/>
      <c r="U427" s="84"/>
    </row>
    <row r="428" spans="19:21">
      <c r="S428" s="84"/>
      <c r="T428" s="84"/>
      <c r="U428" s="84"/>
    </row>
    <row r="429" spans="19:21">
      <c r="S429" s="84"/>
      <c r="T429" s="84"/>
      <c r="U429" s="84"/>
    </row>
    <row r="430" spans="19:21">
      <c r="S430" s="84"/>
      <c r="T430" s="84"/>
      <c r="U430" s="84"/>
    </row>
    <row r="431" spans="19:21">
      <c r="S431" s="84"/>
      <c r="T431" s="84"/>
      <c r="U431" s="84"/>
    </row>
    <row r="432" spans="19:21">
      <c r="S432" s="84"/>
      <c r="T432" s="84"/>
      <c r="U432" s="84"/>
    </row>
    <row r="433" spans="19:21">
      <c r="S433" s="84"/>
      <c r="T433" s="84"/>
      <c r="U433" s="84"/>
    </row>
    <row r="434" spans="19:21">
      <c r="S434" s="84"/>
      <c r="T434" s="84"/>
      <c r="U434" s="84"/>
    </row>
    <row r="435" spans="19:21">
      <c r="S435" s="84"/>
      <c r="T435" s="84"/>
      <c r="U435" s="84"/>
    </row>
    <row r="436" spans="19:21">
      <c r="S436" s="84"/>
      <c r="T436" s="84"/>
      <c r="U436" s="84"/>
    </row>
    <row r="437" spans="19:21">
      <c r="S437" s="84"/>
      <c r="T437" s="84"/>
      <c r="U437" s="84"/>
    </row>
    <row r="438" spans="19:21">
      <c r="S438" s="84"/>
      <c r="T438" s="84"/>
      <c r="U438" s="84"/>
    </row>
    <row r="439" spans="19:21">
      <c r="S439" s="84"/>
      <c r="T439" s="84"/>
      <c r="U439" s="84"/>
    </row>
    <row r="440" spans="19:21">
      <c r="S440" s="84"/>
      <c r="T440" s="84"/>
      <c r="U440" s="84"/>
    </row>
    <row r="441" spans="19:21">
      <c r="S441" s="84"/>
      <c r="T441" s="84"/>
      <c r="U441" s="84"/>
    </row>
    <row r="442" spans="19:21">
      <c r="S442" s="84"/>
      <c r="T442" s="84"/>
      <c r="U442" s="84"/>
    </row>
    <row r="443" spans="19:21">
      <c r="S443" s="84"/>
      <c r="T443" s="84"/>
      <c r="U443" s="84"/>
    </row>
    <row r="444" spans="19:21">
      <c r="S444" s="84"/>
      <c r="T444" s="84"/>
      <c r="U444" s="84"/>
    </row>
    <row r="445" spans="19:21">
      <c r="S445" s="84"/>
      <c r="T445" s="84"/>
      <c r="U445" s="84"/>
    </row>
    <row r="446" spans="19:21">
      <c r="S446" s="84"/>
      <c r="T446" s="84"/>
      <c r="U446" s="84"/>
    </row>
    <row r="447" spans="19:21">
      <c r="S447" s="84"/>
      <c r="T447" s="84"/>
      <c r="U447" s="84"/>
    </row>
    <row r="448" spans="19:21">
      <c r="S448" s="84"/>
      <c r="T448" s="84"/>
      <c r="U448" s="84"/>
    </row>
    <row r="449" spans="19:21">
      <c r="S449" s="84"/>
      <c r="T449" s="84"/>
      <c r="U449" s="84"/>
    </row>
    <row r="450" spans="19:21">
      <c r="S450" s="84"/>
      <c r="T450" s="84"/>
      <c r="U450" s="84"/>
    </row>
    <row r="451" spans="19:21">
      <c r="S451" s="84"/>
      <c r="T451" s="84"/>
      <c r="U451" s="84"/>
    </row>
    <row r="452" spans="19:21">
      <c r="S452" s="84"/>
      <c r="T452" s="84"/>
      <c r="U452" s="84"/>
    </row>
    <row r="453" spans="19:21">
      <c r="S453" s="84"/>
      <c r="T453" s="84"/>
      <c r="U453" s="84"/>
    </row>
    <row r="454" spans="19:21">
      <c r="S454" s="84"/>
      <c r="T454" s="84"/>
      <c r="U454" s="84"/>
    </row>
    <row r="455" spans="19:21">
      <c r="S455" s="84"/>
      <c r="T455" s="84"/>
      <c r="U455" s="84"/>
    </row>
    <row r="456" spans="19:21">
      <c r="S456" s="84"/>
      <c r="T456" s="84"/>
      <c r="U456" s="84"/>
    </row>
    <row r="457" spans="19:21">
      <c r="S457" s="84"/>
      <c r="T457" s="84"/>
      <c r="U457" s="84"/>
    </row>
    <row r="458" spans="19:21">
      <c r="S458" s="84"/>
      <c r="T458" s="84"/>
      <c r="U458" s="84"/>
    </row>
    <row r="459" spans="19:21">
      <c r="S459" s="84"/>
      <c r="T459" s="84"/>
      <c r="U459" s="84"/>
    </row>
    <row r="460" spans="19:21">
      <c r="S460" s="84"/>
      <c r="T460" s="84"/>
      <c r="U460" s="84"/>
    </row>
    <row r="461" spans="19:21">
      <c r="S461" s="84"/>
      <c r="T461" s="84"/>
      <c r="U461" s="84"/>
    </row>
    <row r="462" spans="19:21">
      <c r="S462" s="84"/>
      <c r="T462" s="84"/>
      <c r="U462" s="84"/>
    </row>
    <row r="463" spans="19:21">
      <c r="S463" s="84"/>
      <c r="T463" s="84"/>
      <c r="U463" s="84"/>
    </row>
    <row r="464" spans="19:21">
      <c r="S464" s="84"/>
      <c r="T464" s="84"/>
      <c r="U464" s="84"/>
    </row>
    <row r="465" spans="19:21">
      <c r="S465" s="84"/>
      <c r="T465" s="84"/>
      <c r="U465" s="84"/>
    </row>
    <row r="466" spans="19:21">
      <c r="S466" s="84"/>
      <c r="T466" s="84"/>
      <c r="U466" s="84"/>
    </row>
    <row r="467" spans="19:21">
      <c r="S467" s="84"/>
      <c r="T467" s="84"/>
      <c r="U467" s="84"/>
    </row>
    <row r="468" spans="19:21">
      <c r="S468" s="84"/>
      <c r="T468" s="84"/>
      <c r="U468" s="84"/>
    </row>
    <row r="469" spans="19:21">
      <c r="S469" s="84"/>
      <c r="T469" s="84"/>
      <c r="U469" s="84"/>
    </row>
    <row r="470" spans="19:21">
      <c r="S470" s="84"/>
      <c r="T470" s="84"/>
      <c r="U470" s="84"/>
    </row>
    <row r="471" spans="19:21">
      <c r="S471" s="84"/>
      <c r="T471" s="84"/>
      <c r="U471" s="84"/>
    </row>
    <row r="472" spans="19:21">
      <c r="S472" s="84"/>
      <c r="T472" s="84"/>
      <c r="U472" s="84"/>
    </row>
    <row r="473" spans="19:21">
      <c r="S473" s="84"/>
      <c r="T473" s="84"/>
      <c r="U473" s="84"/>
    </row>
    <row r="474" spans="19:21">
      <c r="S474" s="84"/>
      <c r="T474" s="84"/>
      <c r="U474" s="84"/>
    </row>
    <row r="475" spans="19:21">
      <c r="S475" s="84"/>
      <c r="T475" s="84"/>
      <c r="U475" s="84"/>
    </row>
    <row r="476" spans="19:21">
      <c r="S476" s="84"/>
      <c r="T476" s="84"/>
      <c r="U476" s="84"/>
    </row>
    <row r="477" spans="19:21">
      <c r="S477" s="84"/>
      <c r="T477" s="84"/>
      <c r="U477" s="84"/>
    </row>
    <row r="478" spans="19:21">
      <c r="S478" s="84"/>
      <c r="T478" s="84"/>
      <c r="U478" s="84"/>
    </row>
    <row r="479" spans="19:21">
      <c r="S479" s="84"/>
      <c r="T479" s="84"/>
      <c r="U479" s="84"/>
    </row>
    <row r="480" spans="19:21">
      <c r="S480" s="84"/>
      <c r="T480" s="84"/>
      <c r="U480" s="84"/>
    </row>
    <row r="481" spans="19:21">
      <c r="S481" s="84"/>
      <c r="T481" s="84"/>
      <c r="U481" s="84"/>
    </row>
    <row r="482" spans="19:21">
      <c r="S482" s="84"/>
      <c r="T482" s="84"/>
      <c r="U482" s="84"/>
    </row>
    <row r="483" spans="19:21">
      <c r="S483" s="84"/>
      <c r="T483" s="84"/>
      <c r="U483" s="84"/>
    </row>
    <row r="484" spans="19:21">
      <c r="S484" s="84"/>
      <c r="T484" s="84"/>
      <c r="U484" s="84"/>
    </row>
    <row r="485" spans="19:21">
      <c r="S485" s="84"/>
      <c r="T485" s="84"/>
      <c r="U485" s="84"/>
    </row>
    <row r="486" spans="19:21">
      <c r="S486" s="84"/>
      <c r="T486" s="84"/>
      <c r="U486" s="84"/>
    </row>
    <row r="487" spans="19:21">
      <c r="S487" s="84"/>
      <c r="T487" s="84"/>
      <c r="U487" s="84"/>
    </row>
    <row r="488" spans="19:21">
      <c r="S488" s="84"/>
      <c r="T488" s="84"/>
      <c r="U488" s="84"/>
    </row>
    <row r="489" spans="19:21">
      <c r="S489" s="84"/>
      <c r="T489" s="84"/>
      <c r="U489" s="84"/>
    </row>
    <row r="490" spans="19:21">
      <c r="S490" s="84"/>
      <c r="T490" s="84"/>
      <c r="U490" s="84"/>
    </row>
    <row r="491" spans="19:21">
      <c r="S491" s="84"/>
      <c r="T491" s="84"/>
      <c r="U491" s="84"/>
    </row>
    <row r="492" spans="19:21">
      <c r="S492" s="84"/>
      <c r="T492" s="84"/>
      <c r="U492" s="84"/>
    </row>
    <row r="493" spans="19:21">
      <c r="S493" s="84"/>
      <c r="T493" s="84"/>
      <c r="U493" s="84"/>
    </row>
    <row r="494" spans="19:21">
      <c r="S494" s="84"/>
      <c r="T494" s="84"/>
      <c r="U494" s="84"/>
    </row>
    <row r="495" spans="19:21">
      <c r="S495" s="84"/>
      <c r="T495" s="84"/>
      <c r="U495" s="84"/>
    </row>
    <row r="496" spans="19:21">
      <c r="S496" s="84"/>
      <c r="T496" s="84"/>
      <c r="U496" s="84"/>
    </row>
    <row r="497" spans="19:21">
      <c r="S497" s="84"/>
      <c r="T497" s="84"/>
      <c r="U497" s="84"/>
    </row>
    <row r="498" spans="19:21">
      <c r="S498" s="84"/>
      <c r="T498" s="84"/>
      <c r="U498" s="84"/>
    </row>
    <row r="499" spans="19:21">
      <c r="S499" s="84"/>
      <c r="T499" s="84"/>
      <c r="U499" s="84"/>
    </row>
    <row r="500" spans="19:21">
      <c r="S500" s="84"/>
      <c r="T500" s="84"/>
      <c r="U500" s="84"/>
    </row>
    <row r="501" spans="19:21">
      <c r="S501" s="84"/>
      <c r="T501" s="84"/>
      <c r="U501" s="84"/>
    </row>
    <row r="502" spans="19:21">
      <c r="S502" s="84"/>
      <c r="T502" s="84"/>
      <c r="U502" s="84"/>
    </row>
    <row r="503" spans="19:21">
      <c r="S503" s="84"/>
      <c r="T503" s="84"/>
      <c r="U503" s="84"/>
    </row>
    <row r="504" spans="19:21">
      <c r="S504" s="84"/>
      <c r="T504" s="84"/>
      <c r="U504" s="84"/>
    </row>
    <row r="505" spans="19:21">
      <c r="S505" s="84"/>
      <c r="T505" s="84"/>
      <c r="U505" s="84"/>
    </row>
    <row r="506" spans="19:21">
      <c r="S506" s="84"/>
      <c r="T506" s="84"/>
      <c r="U506" s="84"/>
    </row>
    <row r="507" spans="19:21">
      <c r="S507" s="84"/>
      <c r="T507" s="84"/>
      <c r="U507" s="84"/>
    </row>
    <row r="508" spans="19:21">
      <c r="S508" s="84"/>
      <c r="T508" s="84"/>
      <c r="U508" s="84"/>
    </row>
    <row r="509" spans="19:21">
      <c r="S509" s="84"/>
      <c r="T509" s="84"/>
      <c r="U509" s="84"/>
    </row>
    <row r="510" spans="19:21">
      <c r="S510" s="84"/>
      <c r="T510" s="84"/>
      <c r="U510" s="84"/>
    </row>
    <row r="511" spans="19:21">
      <c r="S511" s="84"/>
      <c r="T511" s="84"/>
      <c r="U511" s="84"/>
    </row>
    <row r="512" spans="19:21">
      <c r="S512" s="84"/>
      <c r="T512" s="84"/>
      <c r="U512" s="84"/>
    </row>
    <row r="513" spans="19:21">
      <c r="S513" s="84"/>
      <c r="T513" s="84"/>
      <c r="U513" s="84"/>
    </row>
    <row r="514" spans="19:21">
      <c r="S514" s="84"/>
      <c r="T514" s="84"/>
      <c r="U514" s="84"/>
    </row>
    <row r="515" spans="19:21">
      <c r="S515" s="84"/>
      <c r="T515" s="84"/>
      <c r="U515" s="84"/>
    </row>
    <row r="516" spans="19:21">
      <c r="S516" s="84"/>
      <c r="T516" s="84"/>
      <c r="U516" s="84"/>
    </row>
    <row r="517" spans="19:21">
      <c r="S517" s="84"/>
      <c r="T517" s="84"/>
      <c r="U517" s="84"/>
    </row>
    <row r="518" spans="19:21">
      <c r="S518" s="84"/>
      <c r="T518" s="84"/>
      <c r="U518" s="84"/>
    </row>
    <row r="519" spans="19:21">
      <c r="S519" s="84"/>
      <c r="T519" s="84"/>
      <c r="U519" s="84"/>
    </row>
    <row r="520" spans="19:21">
      <c r="S520" s="84"/>
      <c r="T520" s="84"/>
      <c r="U520" s="84"/>
    </row>
    <row r="521" spans="19:21">
      <c r="S521" s="84"/>
      <c r="T521" s="84"/>
      <c r="U521" s="84"/>
    </row>
    <row r="522" spans="19:21">
      <c r="S522" s="84"/>
      <c r="T522" s="84"/>
      <c r="U522" s="84"/>
    </row>
    <row r="523" spans="19:21">
      <c r="S523" s="84"/>
      <c r="T523" s="84"/>
      <c r="U523" s="84"/>
    </row>
    <row r="524" spans="19:21">
      <c r="S524" s="84"/>
      <c r="T524" s="84"/>
      <c r="U524" s="84"/>
    </row>
    <row r="525" spans="19:21">
      <c r="S525" s="84"/>
      <c r="T525" s="84"/>
      <c r="U525" s="84"/>
    </row>
    <row r="526" spans="19:21">
      <c r="S526" s="84"/>
      <c r="T526" s="84"/>
      <c r="U526" s="84"/>
    </row>
    <row r="527" spans="19:21">
      <c r="S527" s="84"/>
      <c r="T527" s="84"/>
      <c r="U527" s="84"/>
    </row>
    <row r="528" spans="19:21">
      <c r="S528" s="84"/>
      <c r="T528" s="84"/>
      <c r="U528" s="84"/>
    </row>
    <row r="529" spans="19:21">
      <c r="S529" s="84"/>
      <c r="T529" s="84"/>
      <c r="U529" s="84"/>
    </row>
    <row r="530" spans="19:21">
      <c r="S530" s="84"/>
      <c r="T530" s="84"/>
      <c r="U530" s="84"/>
    </row>
    <row r="531" spans="19:21">
      <c r="S531" s="84"/>
      <c r="T531" s="84"/>
      <c r="U531" s="84"/>
    </row>
    <row r="532" spans="19:21">
      <c r="S532" s="84"/>
      <c r="T532" s="84"/>
      <c r="U532" s="84"/>
    </row>
    <row r="533" spans="19:21">
      <c r="S533" s="84"/>
      <c r="T533" s="84"/>
      <c r="U533" s="84"/>
    </row>
    <row r="534" spans="19:21">
      <c r="S534" s="84"/>
      <c r="T534" s="84"/>
      <c r="U534" s="84"/>
    </row>
    <row r="535" spans="19:21">
      <c r="S535" s="84"/>
      <c r="T535" s="84"/>
      <c r="U535" s="84"/>
    </row>
    <row r="536" spans="19:21">
      <c r="S536" s="84"/>
      <c r="T536" s="84"/>
      <c r="U536" s="84"/>
    </row>
    <row r="537" spans="19:21">
      <c r="S537" s="84"/>
      <c r="T537" s="84"/>
      <c r="U537" s="84"/>
    </row>
    <row r="538" spans="19:21">
      <c r="S538" s="84"/>
      <c r="T538" s="84"/>
      <c r="U538" s="84"/>
    </row>
    <row r="539" spans="19:21">
      <c r="S539" s="84"/>
      <c r="T539" s="84"/>
      <c r="U539" s="84"/>
    </row>
    <row r="540" spans="19:21">
      <c r="S540" s="84"/>
      <c r="T540" s="84"/>
      <c r="U540" s="84"/>
    </row>
    <row r="541" spans="19:21">
      <c r="S541" s="84"/>
      <c r="T541" s="84"/>
      <c r="U541" s="84"/>
    </row>
    <row r="542" spans="19:21">
      <c r="S542" s="84"/>
      <c r="T542" s="84"/>
      <c r="U542" s="84"/>
    </row>
    <row r="543" spans="19:21">
      <c r="S543" s="84"/>
      <c r="T543" s="84"/>
      <c r="U543" s="84"/>
    </row>
    <row r="544" spans="19:21">
      <c r="S544" s="84"/>
      <c r="T544" s="84"/>
      <c r="U544" s="84"/>
    </row>
    <row r="545" spans="19:21">
      <c r="S545" s="84"/>
      <c r="T545" s="84"/>
      <c r="U545" s="84"/>
    </row>
    <row r="546" spans="19:21">
      <c r="S546" s="84"/>
      <c r="T546" s="84"/>
      <c r="U546" s="84"/>
    </row>
    <row r="547" spans="19:21">
      <c r="S547" s="84"/>
      <c r="T547" s="84"/>
      <c r="U547" s="84"/>
    </row>
    <row r="548" spans="19:21">
      <c r="S548" s="84"/>
      <c r="T548" s="84"/>
      <c r="U548" s="84"/>
    </row>
    <row r="549" spans="19:21">
      <c r="S549" s="84"/>
      <c r="T549" s="84"/>
      <c r="U549" s="84"/>
    </row>
    <row r="550" spans="19:21">
      <c r="S550" s="84"/>
      <c r="T550" s="84"/>
      <c r="U550" s="84"/>
    </row>
    <row r="551" spans="19:21">
      <c r="S551" s="84"/>
      <c r="T551" s="84"/>
      <c r="U551" s="84"/>
    </row>
    <row r="552" spans="19:21">
      <c r="S552" s="84"/>
      <c r="T552" s="84"/>
      <c r="U552" s="84"/>
    </row>
    <row r="553" spans="19:21">
      <c r="S553" s="84"/>
      <c r="T553" s="84"/>
      <c r="U553" s="84"/>
    </row>
    <row r="554" spans="19:21">
      <c r="S554" s="84"/>
      <c r="T554" s="84"/>
      <c r="U554" s="84"/>
    </row>
    <row r="555" spans="19:21">
      <c r="S555" s="84"/>
      <c r="T555" s="84"/>
      <c r="U555" s="84"/>
    </row>
    <row r="556" spans="19:21">
      <c r="S556" s="84"/>
      <c r="T556" s="84"/>
      <c r="U556" s="84"/>
    </row>
    <row r="557" spans="19:21">
      <c r="S557" s="84"/>
      <c r="T557" s="84"/>
      <c r="U557" s="84"/>
    </row>
    <row r="558" spans="19:21">
      <c r="S558" s="84"/>
      <c r="T558" s="84"/>
      <c r="U558" s="84"/>
    </row>
    <row r="559" spans="19:21">
      <c r="S559" s="84"/>
      <c r="T559" s="84"/>
      <c r="U559" s="84"/>
    </row>
    <row r="560" spans="19:21">
      <c r="S560" s="84"/>
      <c r="T560" s="84"/>
      <c r="U560" s="84"/>
    </row>
    <row r="561" spans="19:21">
      <c r="S561" s="84"/>
      <c r="T561" s="84"/>
      <c r="U561" s="84"/>
    </row>
    <row r="562" spans="19:21">
      <c r="S562" s="84"/>
      <c r="T562" s="84"/>
      <c r="U562" s="84"/>
    </row>
    <row r="563" spans="19:21">
      <c r="S563" s="84"/>
      <c r="T563" s="84"/>
      <c r="U563" s="84"/>
    </row>
    <row r="564" spans="19:21">
      <c r="S564" s="84"/>
      <c r="T564" s="84"/>
      <c r="U564" s="84"/>
    </row>
    <row r="565" spans="19:21">
      <c r="S565" s="84"/>
      <c r="T565" s="84"/>
      <c r="U565" s="84"/>
    </row>
    <row r="566" spans="19:21">
      <c r="S566" s="84"/>
      <c r="T566" s="84"/>
      <c r="U566" s="84"/>
    </row>
    <row r="567" spans="19:21">
      <c r="S567" s="84"/>
      <c r="T567" s="84"/>
      <c r="U567" s="84"/>
    </row>
    <row r="568" spans="19:21">
      <c r="S568" s="84"/>
      <c r="T568" s="84"/>
      <c r="U568" s="84"/>
    </row>
    <row r="569" spans="19:21">
      <c r="S569" s="84"/>
      <c r="T569" s="84"/>
      <c r="U569" s="84"/>
    </row>
    <row r="570" spans="19:21">
      <c r="S570" s="84"/>
      <c r="T570" s="84"/>
      <c r="U570" s="84"/>
    </row>
    <row r="571" spans="19:21">
      <c r="S571" s="84"/>
      <c r="T571" s="84"/>
      <c r="U571" s="84"/>
    </row>
    <row r="572" spans="19:21">
      <c r="S572" s="84"/>
      <c r="T572" s="84"/>
      <c r="U572" s="84"/>
    </row>
    <row r="573" spans="19:21">
      <c r="S573" s="84"/>
      <c r="T573" s="84"/>
      <c r="U573" s="84"/>
    </row>
    <row r="574" spans="19:21">
      <c r="S574" s="84"/>
      <c r="T574" s="84"/>
      <c r="U574" s="84"/>
    </row>
    <row r="575" spans="19:21">
      <c r="S575" s="84"/>
      <c r="T575" s="84"/>
      <c r="U575" s="84"/>
    </row>
    <row r="576" spans="19:21">
      <c r="S576" s="84"/>
      <c r="T576" s="84"/>
      <c r="U576" s="84"/>
    </row>
    <row r="577" spans="19:21">
      <c r="S577" s="84"/>
      <c r="T577" s="84"/>
      <c r="U577" s="84"/>
    </row>
    <row r="578" spans="19:21">
      <c r="S578" s="84"/>
      <c r="T578" s="84"/>
      <c r="U578" s="84"/>
    </row>
    <row r="579" spans="19:21">
      <c r="S579" s="84"/>
      <c r="T579" s="84"/>
      <c r="U579" s="84"/>
    </row>
    <row r="580" spans="19:21">
      <c r="S580" s="84"/>
      <c r="T580" s="84"/>
      <c r="U580" s="84"/>
    </row>
    <row r="581" spans="19:21">
      <c r="S581" s="84"/>
      <c r="T581" s="84"/>
      <c r="U581" s="84"/>
    </row>
    <row r="582" spans="19:21">
      <c r="S582" s="84"/>
      <c r="T582" s="84"/>
      <c r="U582" s="84"/>
    </row>
    <row r="583" spans="19:21">
      <c r="S583" s="84"/>
      <c r="T583" s="84"/>
      <c r="U583" s="84"/>
    </row>
    <row r="584" spans="19:21">
      <c r="S584" s="84"/>
      <c r="T584" s="84"/>
      <c r="U584" s="84"/>
    </row>
    <row r="585" spans="19:21">
      <c r="S585" s="84"/>
      <c r="T585" s="84"/>
      <c r="U585" s="84"/>
    </row>
    <row r="586" spans="19:21">
      <c r="S586" s="84"/>
      <c r="T586" s="84"/>
      <c r="U586" s="84"/>
    </row>
    <row r="587" spans="19:21">
      <c r="S587" s="84"/>
      <c r="T587" s="84"/>
      <c r="U587" s="84"/>
    </row>
    <row r="588" spans="19:21">
      <c r="S588" s="84"/>
      <c r="T588" s="84"/>
      <c r="U588" s="84"/>
    </row>
    <row r="589" spans="19:21">
      <c r="S589" s="84"/>
      <c r="T589" s="84"/>
      <c r="U589" s="84"/>
    </row>
    <row r="590" spans="19:21">
      <c r="S590" s="84"/>
      <c r="T590" s="84"/>
      <c r="U590" s="84"/>
    </row>
    <row r="591" spans="19:21">
      <c r="S591" s="84"/>
      <c r="T591" s="84"/>
      <c r="U591" s="84"/>
    </row>
    <row r="592" spans="19:21">
      <c r="S592" s="84"/>
      <c r="T592" s="84"/>
      <c r="U592" s="84"/>
    </row>
    <row r="593" spans="19:21">
      <c r="S593" s="84"/>
      <c r="T593" s="84"/>
      <c r="U593" s="84"/>
    </row>
    <row r="594" spans="19:21">
      <c r="S594" s="84"/>
      <c r="T594" s="84"/>
      <c r="U594" s="84"/>
    </row>
    <row r="595" spans="19:21">
      <c r="S595" s="84"/>
      <c r="T595" s="84"/>
      <c r="U595" s="84"/>
    </row>
    <row r="596" spans="19:21">
      <c r="S596" s="84"/>
      <c r="T596" s="84"/>
      <c r="U596" s="84"/>
    </row>
    <row r="597" spans="19:21">
      <c r="S597" s="84"/>
      <c r="T597" s="84"/>
      <c r="U597" s="84"/>
    </row>
    <row r="598" spans="19:21">
      <c r="S598" s="84"/>
      <c r="T598" s="84"/>
      <c r="U598" s="84"/>
    </row>
    <row r="599" spans="19:21">
      <c r="S599" s="84"/>
      <c r="T599" s="84"/>
      <c r="U599" s="84"/>
    </row>
    <row r="600" spans="19:21">
      <c r="S600" s="84"/>
      <c r="T600" s="84"/>
      <c r="U600" s="84"/>
    </row>
    <row r="601" spans="19:21">
      <c r="S601" s="84"/>
      <c r="T601" s="84"/>
      <c r="U601" s="84"/>
    </row>
    <row r="602" spans="19:21">
      <c r="S602" s="84"/>
      <c r="T602" s="84"/>
      <c r="U602" s="84"/>
    </row>
    <row r="603" spans="19:21">
      <c r="S603" s="84"/>
      <c r="T603" s="84"/>
      <c r="U603" s="84"/>
    </row>
    <row r="604" spans="19:21">
      <c r="S604" s="84"/>
      <c r="T604" s="84"/>
      <c r="U604" s="84"/>
    </row>
    <row r="605" spans="19:21">
      <c r="S605" s="84"/>
      <c r="T605" s="84"/>
      <c r="U605" s="84"/>
    </row>
    <row r="606" spans="19:21">
      <c r="S606" s="84"/>
      <c r="T606" s="84"/>
      <c r="U606" s="84"/>
    </row>
    <row r="607" spans="19:21">
      <c r="S607" s="84"/>
      <c r="T607" s="84"/>
      <c r="U607" s="84"/>
    </row>
    <row r="608" spans="19:21">
      <c r="S608" s="84"/>
      <c r="T608" s="84"/>
      <c r="U608" s="84"/>
    </row>
    <row r="609" spans="19:21">
      <c r="S609" s="84"/>
      <c r="T609" s="84"/>
      <c r="U609" s="84"/>
    </row>
    <row r="610" spans="19:21">
      <c r="S610" s="84"/>
      <c r="T610" s="84"/>
      <c r="U610" s="84"/>
    </row>
    <row r="611" spans="19:21">
      <c r="S611" s="84"/>
      <c r="T611" s="84"/>
      <c r="U611" s="84"/>
    </row>
    <row r="612" spans="19:21">
      <c r="S612" s="84"/>
      <c r="T612" s="84"/>
      <c r="U612" s="84"/>
    </row>
    <row r="613" spans="19:21">
      <c r="S613" s="84"/>
      <c r="T613" s="84"/>
      <c r="U613" s="84"/>
    </row>
    <row r="614" spans="19:21">
      <c r="S614" s="84"/>
      <c r="T614" s="84"/>
      <c r="U614" s="84"/>
    </row>
    <row r="615" spans="19:21">
      <c r="S615" s="84"/>
      <c r="T615" s="84"/>
      <c r="U615" s="84"/>
    </row>
    <row r="616" spans="19:21">
      <c r="S616" s="84"/>
      <c r="T616" s="84"/>
      <c r="U616" s="84"/>
    </row>
    <row r="617" spans="19:21">
      <c r="S617" s="84"/>
      <c r="T617" s="84"/>
      <c r="U617" s="84"/>
    </row>
    <row r="618" spans="19:21">
      <c r="S618" s="84"/>
      <c r="T618" s="84"/>
      <c r="U618" s="84"/>
    </row>
    <row r="619" spans="19:21">
      <c r="S619" s="84"/>
      <c r="T619" s="84"/>
      <c r="U619" s="84"/>
    </row>
    <row r="620" spans="19:21">
      <c r="S620" s="84"/>
      <c r="T620" s="84"/>
      <c r="U620" s="84"/>
    </row>
    <row r="621" spans="19:21">
      <c r="S621" s="84"/>
      <c r="T621" s="84"/>
      <c r="U621" s="84"/>
    </row>
    <row r="622" spans="19:21">
      <c r="S622" s="84"/>
      <c r="T622" s="84"/>
      <c r="U622" s="84"/>
    </row>
    <row r="623" spans="19:21">
      <c r="S623" s="84"/>
      <c r="T623" s="84"/>
      <c r="U623" s="84"/>
    </row>
    <row r="624" spans="19:21">
      <c r="S624" s="84"/>
      <c r="T624" s="84"/>
      <c r="U624" s="84"/>
    </row>
    <row r="625" spans="19:21">
      <c r="S625" s="84"/>
      <c r="T625" s="84"/>
      <c r="U625" s="84"/>
    </row>
    <row r="626" spans="19:21">
      <c r="S626" s="84"/>
      <c r="T626" s="84"/>
      <c r="U626" s="84"/>
    </row>
    <row r="627" spans="19:21">
      <c r="S627" s="84"/>
      <c r="T627" s="84"/>
      <c r="U627" s="84"/>
    </row>
    <row r="628" spans="19:21">
      <c r="S628" s="84"/>
      <c r="T628" s="84"/>
      <c r="U628" s="84"/>
    </row>
    <row r="629" spans="19:21">
      <c r="S629" s="84"/>
      <c r="T629" s="84"/>
      <c r="U629" s="84"/>
    </row>
    <row r="630" spans="19:21">
      <c r="S630" s="84"/>
      <c r="T630" s="84"/>
      <c r="U630" s="84"/>
    </row>
    <row r="631" spans="19:21">
      <c r="S631" s="84"/>
      <c r="T631" s="84"/>
      <c r="U631" s="84"/>
    </row>
    <row r="632" spans="19:21">
      <c r="S632" s="84"/>
      <c r="T632" s="84"/>
      <c r="U632" s="84"/>
    </row>
    <row r="633" spans="19:21">
      <c r="S633" s="84"/>
      <c r="T633" s="84"/>
      <c r="U633" s="84"/>
    </row>
    <row r="634" spans="19:21">
      <c r="S634" s="84"/>
      <c r="T634" s="84"/>
      <c r="U634" s="84"/>
    </row>
    <row r="635" spans="19:21">
      <c r="S635" s="84"/>
      <c r="T635" s="84"/>
      <c r="U635" s="84"/>
    </row>
    <row r="636" spans="19:21">
      <c r="S636" s="84"/>
      <c r="T636" s="84"/>
      <c r="U636" s="84"/>
    </row>
    <row r="637" spans="19:21">
      <c r="S637" s="84"/>
      <c r="T637" s="84"/>
      <c r="U637" s="84"/>
    </row>
    <row r="638" spans="19:21">
      <c r="S638" s="84"/>
      <c r="T638" s="84"/>
      <c r="U638" s="84"/>
    </row>
    <row r="639" spans="19:21">
      <c r="S639" s="84"/>
      <c r="T639" s="84"/>
      <c r="U639" s="84"/>
    </row>
    <row r="640" spans="19:21">
      <c r="S640" s="84"/>
      <c r="T640" s="84"/>
      <c r="U640" s="84"/>
    </row>
    <row r="641" spans="19:21">
      <c r="S641" s="84"/>
      <c r="T641" s="84"/>
      <c r="U641" s="84"/>
    </row>
    <row r="642" spans="19:21">
      <c r="S642" s="84"/>
      <c r="T642" s="84"/>
      <c r="U642" s="84"/>
    </row>
    <row r="643" spans="19:21">
      <c r="S643" s="84"/>
      <c r="T643" s="84"/>
      <c r="U643" s="84"/>
    </row>
    <row r="644" spans="19:21">
      <c r="S644" s="84"/>
      <c r="T644" s="84"/>
      <c r="U644" s="84"/>
    </row>
    <row r="645" spans="19:21">
      <c r="S645" s="84"/>
      <c r="T645" s="84"/>
      <c r="U645" s="84"/>
    </row>
    <row r="646" spans="19:21">
      <c r="S646" s="84"/>
      <c r="T646" s="84"/>
      <c r="U646" s="84"/>
    </row>
    <row r="647" spans="19:21">
      <c r="S647" s="84"/>
      <c r="T647" s="84"/>
      <c r="U647" s="84"/>
    </row>
    <row r="648" spans="19:21">
      <c r="S648" s="84"/>
      <c r="T648" s="84"/>
      <c r="U648" s="84"/>
    </row>
    <row r="649" spans="19:21">
      <c r="S649" s="84"/>
      <c r="T649" s="84"/>
      <c r="U649" s="84"/>
    </row>
    <row r="650" spans="19:21">
      <c r="S650" s="84"/>
      <c r="T650" s="84"/>
      <c r="U650" s="84"/>
    </row>
    <row r="651" spans="19:21">
      <c r="S651" s="84"/>
      <c r="T651" s="84"/>
      <c r="U651" s="84"/>
    </row>
    <row r="652" spans="19:21">
      <c r="S652" s="84"/>
      <c r="T652" s="84"/>
      <c r="U652" s="84"/>
    </row>
    <row r="653" spans="19:21">
      <c r="S653" s="84"/>
      <c r="T653" s="84"/>
      <c r="U653" s="84"/>
    </row>
    <row r="654" spans="19:21">
      <c r="S654" s="84"/>
      <c r="T654" s="84"/>
      <c r="U654" s="84"/>
    </row>
    <row r="655" spans="19:21">
      <c r="S655" s="84"/>
      <c r="T655" s="84"/>
      <c r="U655" s="84"/>
    </row>
    <row r="656" spans="19:21">
      <c r="S656" s="84"/>
      <c r="T656" s="84"/>
      <c r="U656" s="84"/>
    </row>
    <row r="657" spans="19:21">
      <c r="S657" s="84"/>
      <c r="T657" s="84"/>
      <c r="U657" s="84"/>
    </row>
    <row r="658" spans="19:21">
      <c r="S658" s="84"/>
      <c r="T658" s="84"/>
      <c r="U658" s="84"/>
    </row>
    <row r="659" spans="19:21">
      <c r="S659" s="84"/>
      <c r="T659" s="84"/>
      <c r="U659" s="84"/>
    </row>
    <row r="660" spans="19:21">
      <c r="S660" s="84"/>
      <c r="T660" s="84"/>
      <c r="U660" s="84"/>
    </row>
    <row r="661" spans="19:21">
      <c r="S661" s="84"/>
      <c r="T661" s="84"/>
      <c r="U661" s="84"/>
    </row>
    <row r="662" spans="19:21">
      <c r="S662" s="84"/>
      <c r="T662" s="84"/>
      <c r="U662" s="84"/>
    </row>
    <row r="663" spans="19:21">
      <c r="S663" s="84"/>
      <c r="T663" s="84"/>
      <c r="U663" s="84"/>
    </row>
    <row r="664" spans="19:21">
      <c r="S664" s="84"/>
      <c r="T664" s="84"/>
      <c r="U664" s="84"/>
    </row>
    <row r="665" spans="19:21">
      <c r="S665" s="84"/>
      <c r="T665" s="84"/>
      <c r="U665" s="84"/>
    </row>
    <row r="666" spans="19:21">
      <c r="S666" s="84"/>
      <c r="T666" s="84"/>
      <c r="U666" s="84"/>
    </row>
    <row r="667" spans="19:21">
      <c r="S667" s="84"/>
      <c r="T667" s="84"/>
      <c r="U667" s="84"/>
    </row>
    <row r="668" spans="19:21">
      <c r="S668" s="84"/>
      <c r="T668" s="84"/>
      <c r="U668" s="84"/>
    </row>
    <row r="669" spans="19:21">
      <c r="S669" s="84"/>
      <c r="T669" s="84"/>
      <c r="U669" s="84"/>
    </row>
    <row r="670" spans="19:21">
      <c r="S670" s="84"/>
      <c r="T670" s="84"/>
      <c r="U670" s="84"/>
    </row>
    <row r="671" spans="19:21">
      <c r="S671" s="84"/>
      <c r="T671" s="84"/>
      <c r="U671" s="84"/>
    </row>
    <row r="672" spans="19:21">
      <c r="S672" s="84"/>
      <c r="T672" s="84"/>
      <c r="U672" s="84"/>
    </row>
    <row r="673" spans="19:21">
      <c r="S673" s="84"/>
      <c r="T673" s="84"/>
      <c r="U673" s="84"/>
    </row>
    <row r="674" spans="19:21">
      <c r="S674" s="84"/>
      <c r="T674" s="84"/>
      <c r="U674" s="84"/>
    </row>
    <row r="675" spans="19:21">
      <c r="S675" s="84"/>
      <c r="T675" s="84"/>
      <c r="U675" s="84"/>
    </row>
    <row r="676" spans="19:21">
      <c r="S676" s="84"/>
      <c r="T676" s="84"/>
      <c r="U676" s="84"/>
    </row>
    <row r="677" spans="19:21">
      <c r="S677" s="84"/>
      <c r="T677" s="84"/>
      <c r="U677" s="84"/>
    </row>
    <row r="678" spans="19:21">
      <c r="S678" s="84"/>
      <c r="T678" s="84"/>
      <c r="U678" s="84"/>
    </row>
    <row r="679" spans="19:21">
      <c r="S679" s="84"/>
      <c r="T679" s="84"/>
      <c r="U679" s="84"/>
    </row>
    <row r="680" spans="19:21">
      <c r="S680" s="84"/>
      <c r="T680" s="84"/>
      <c r="U680" s="84"/>
    </row>
    <row r="681" spans="19:21">
      <c r="S681" s="84"/>
      <c r="T681" s="84"/>
      <c r="U681" s="84"/>
    </row>
    <row r="682" spans="19:21">
      <c r="S682" s="84"/>
      <c r="T682" s="84"/>
      <c r="U682" s="84"/>
    </row>
    <row r="683" spans="19:21">
      <c r="S683" s="84"/>
      <c r="T683" s="84"/>
      <c r="U683" s="84"/>
    </row>
    <row r="684" spans="19:21">
      <c r="S684" s="84"/>
      <c r="T684" s="84"/>
      <c r="U684" s="84"/>
    </row>
    <row r="685" spans="19:21">
      <c r="S685" s="84"/>
      <c r="T685" s="84"/>
      <c r="U685" s="84"/>
    </row>
    <row r="686" spans="19:21">
      <c r="S686" s="84"/>
      <c r="T686" s="84"/>
      <c r="U686" s="84"/>
    </row>
    <row r="687" spans="19:21">
      <c r="S687" s="84"/>
      <c r="T687" s="84"/>
      <c r="U687" s="84"/>
    </row>
    <row r="688" spans="19:21">
      <c r="S688" s="84"/>
      <c r="T688" s="84"/>
      <c r="U688" s="84"/>
    </row>
    <row r="689" spans="19:21">
      <c r="S689" s="84"/>
      <c r="T689" s="84"/>
      <c r="U689" s="84"/>
    </row>
    <row r="690" spans="19:21">
      <c r="S690" s="84"/>
      <c r="T690" s="84"/>
      <c r="U690" s="84"/>
    </row>
    <row r="691" spans="19:21">
      <c r="S691" s="84"/>
      <c r="T691" s="84"/>
      <c r="U691" s="84"/>
    </row>
    <row r="692" spans="19:21">
      <c r="S692" s="84"/>
      <c r="T692" s="84"/>
      <c r="U692" s="84"/>
    </row>
    <row r="693" spans="19:21">
      <c r="S693" s="84"/>
      <c r="T693" s="84"/>
      <c r="U693" s="84"/>
    </row>
    <row r="694" spans="19:21">
      <c r="S694" s="84"/>
      <c r="T694" s="84"/>
      <c r="U694" s="84"/>
    </row>
    <row r="695" spans="19:21">
      <c r="S695" s="84"/>
      <c r="T695" s="84"/>
      <c r="U695" s="84"/>
    </row>
    <row r="696" spans="19:21">
      <c r="S696" s="84"/>
      <c r="T696" s="84"/>
      <c r="U696" s="84"/>
    </row>
    <row r="697" spans="19:21">
      <c r="S697" s="84"/>
      <c r="T697" s="84"/>
      <c r="U697" s="84"/>
    </row>
    <row r="698" spans="19:21">
      <c r="S698" s="84"/>
      <c r="T698" s="84"/>
      <c r="U698" s="84"/>
    </row>
    <row r="699" spans="19:21">
      <c r="S699" s="84"/>
      <c r="T699" s="84"/>
      <c r="U699" s="84"/>
    </row>
    <row r="700" spans="19:21">
      <c r="S700" s="84"/>
      <c r="T700" s="84"/>
      <c r="U700" s="84"/>
    </row>
    <row r="701" spans="19:21">
      <c r="S701" s="84"/>
      <c r="T701" s="84"/>
      <c r="U701" s="84"/>
    </row>
    <row r="702" spans="19:21">
      <c r="S702" s="84"/>
      <c r="T702" s="84"/>
      <c r="U702" s="84"/>
    </row>
    <row r="703" spans="19:21">
      <c r="S703" s="84"/>
      <c r="T703" s="84"/>
      <c r="U703" s="84"/>
    </row>
    <row r="704" spans="19:21">
      <c r="S704" s="84"/>
      <c r="T704" s="84"/>
      <c r="U704" s="84"/>
    </row>
    <row r="705" spans="19:21">
      <c r="S705" s="84"/>
      <c r="T705" s="84"/>
      <c r="U705" s="84"/>
    </row>
    <row r="706" spans="19:21">
      <c r="S706" s="84"/>
      <c r="T706" s="84"/>
      <c r="U706" s="84"/>
    </row>
    <row r="707" spans="19:21">
      <c r="S707" s="84"/>
      <c r="T707" s="84"/>
      <c r="U707" s="84"/>
    </row>
    <row r="708" spans="19:21">
      <c r="S708" s="84"/>
      <c r="T708" s="84"/>
      <c r="U708" s="84"/>
    </row>
    <row r="709" spans="19:21">
      <c r="S709" s="84"/>
      <c r="T709" s="84"/>
      <c r="U709" s="84"/>
    </row>
    <row r="710" spans="19:21">
      <c r="S710" s="84"/>
      <c r="T710" s="84"/>
      <c r="U710" s="84"/>
    </row>
    <row r="711" spans="19:21">
      <c r="S711" s="84"/>
      <c r="T711" s="84"/>
      <c r="U711" s="84"/>
    </row>
    <row r="712" spans="19:21">
      <c r="S712" s="84"/>
      <c r="T712" s="84"/>
      <c r="U712" s="84"/>
    </row>
    <row r="713" spans="19:21">
      <c r="S713" s="84"/>
      <c r="T713" s="84"/>
      <c r="U713" s="84"/>
    </row>
    <row r="714" spans="19:21">
      <c r="S714" s="84"/>
      <c r="T714" s="84"/>
      <c r="U714" s="84"/>
    </row>
    <row r="715" spans="19:21">
      <c r="S715" s="84"/>
      <c r="T715" s="84"/>
      <c r="U715" s="84"/>
    </row>
    <row r="716" spans="19:21">
      <c r="S716" s="84"/>
      <c r="T716" s="84"/>
      <c r="U716" s="84"/>
    </row>
    <row r="717" spans="19:21">
      <c r="S717" s="84"/>
      <c r="T717" s="84"/>
      <c r="U717" s="84"/>
    </row>
    <row r="718" spans="19:21">
      <c r="S718" s="84"/>
      <c r="T718" s="84"/>
      <c r="U718" s="84"/>
    </row>
    <row r="719" spans="19:21">
      <c r="S719" s="84"/>
      <c r="T719" s="84"/>
      <c r="U719" s="84"/>
    </row>
    <row r="720" spans="19:21">
      <c r="S720" s="84"/>
      <c r="T720" s="84"/>
      <c r="U720" s="84"/>
    </row>
    <row r="721" spans="19:21">
      <c r="S721" s="84"/>
      <c r="T721" s="84"/>
      <c r="U721" s="84"/>
    </row>
    <row r="722" spans="19:21">
      <c r="S722" s="84"/>
      <c r="T722" s="84"/>
      <c r="U722" s="84"/>
    </row>
    <row r="723" spans="19:21">
      <c r="S723" s="84"/>
      <c r="T723" s="84"/>
      <c r="U723" s="84"/>
    </row>
    <row r="724" spans="19:21">
      <c r="S724" s="84"/>
      <c r="T724" s="84"/>
      <c r="U724" s="84"/>
    </row>
    <row r="725" spans="19:21">
      <c r="S725" s="84"/>
      <c r="T725" s="84"/>
      <c r="U725" s="84"/>
    </row>
    <row r="726" spans="19:21">
      <c r="S726" s="84"/>
      <c r="T726" s="84"/>
      <c r="U726" s="84"/>
    </row>
    <row r="727" spans="19:21">
      <c r="S727" s="84"/>
      <c r="T727" s="84"/>
      <c r="U727" s="84"/>
    </row>
    <row r="728" spans="19:21">
      <c r="S728" s="84"/>
      <c r="T728" s="84"/>
      <c r="U728" s="84"/>
    </row>
    <row r="729" spans="19:21">
      <c r="S729" s="84"/>
      <c r="T729" s="84"/>
      <c r="U729" s="84"/>
    </row>
    <row r="730" spans="19:21">
      <c r="S730" s="84"/>
      <c r="T730" s="84"/>
      <c r="U730" s="84"/>
    </row>
    <row r="731" spans="19:21">
      <c r="S731" s="84"/>
      <c r="T731" s="84"/>
      <c r="U731" s="84"/>
    </row>
    <row r="732" spans="19:21">
      <c r="S732" s="84"/>
      <c r="T732" s="84"/>
      <c r="U732" s="84"/>
    </row>
    <row r="733" spans="19:21">
      <c r="S733" s="84"/>
      <c r="T733" s="84"/>
      <c r="U733" s="84"/>
    </row>
    <row r="734" spans="19:21">
      <c r="S734" s="84"/>
      <c r="T734" s="84"/>
      <c r="U734" s="84"/>
    </row>
    <row r="735" spans="19:21">
      <c r="S735" s="84"/>
      <c r="T735" s="84"/>
      <c r="U735" s="84"/>
    </row>
    <row r="736" spans="19:21">
      <c r="S736" s="84"/>
      <c r="T736" s="84"/>
      <c r="U736" s="84"/>
    </row>
    <row r="737" spans="19:21">
      <c r="S737" s="84"/>
      <c r="T737" s="84"/>
      <c r="U737" s="84"/>
    </row>
    <row r="738" spans="19:21">
      <c r="S738" s="84"/>
      <c r="T738" s="84"/>
      <c r="U738" s="84"/>
    </row>
    <row r="739" spans="19:21">
      <c r="S739" s="84"/>
      <c r="T739" s="84"/>
      <c r="U739" s="84"/>
    </row>
    <row r="740" spans="19:21">
      <c r="S740" s="84"/>
      <c r="T740" s="84"/>
      <c r="U740" s="84"/>
    </row>
    <row r="741" spans="19:21">
      <c r="S741" s="84"/>
      <c r="T741" s="84"/>
      <c r="U741" s="84"/>
    </row>
    <row r="742" spans="19:21">
      <c r="S742" s="84"/>
      <c r="T742" s="84"/>
      <c r="U742" s="84"/>
    </row>
    <row r="743" spans="19:21">
      <c r="S743" s="84"/>
      <c r="T743" s="84"/>
      <c r="U743" s="84"/>
    </row>
    <row r="744" spans="19:21">
      <c r="S744" s="84"/>
      <c r="T744" s="84"/>
      <c r="U744" s="84"/>
    </row>
    <row r="745" spans="19:21">
      <c r="S745" s="84"/>
      <c r="T745" s="84"/>
      <c r="U745" s="84"/>
    </row>
    <row r="746" spans="19:21">
      <c r="S746" s="84"/>
      <c r="T746" s="84"/>
      <c r="U746" s="84"/>
    </row>
    <row r="747" spans="19:21">
      <c r="S747" s="84"/>
      <c r="T747" s="84"/>
      <c r="U747" s="84"/>
    </row>
    <row r="748" spans="19:21">
      <c r="S748" s="84"/>
      <c r="T748" s="84"/>
      <c r="U748" s="84"/>
    </row>
    <row r="749" spans="19:21">
      <c r="S749" s="84"/>
      <c r="T749" s="84"/>
      <c r="U749" s="84"/>
    </row>
    <row r="750" spans="19:21">
      <c r="S750" s="84"/>
      <c r="T750" s="84"/>
      <c r="U750" s="84"/>
    </row>
    <row r="751" spans="19:21">
      <c r="S751" s="84"/>
      <c r="T751" s="84"/>
      <c r="U751" s="84"/>
    </row>
    <row r="752" spans="19:21">
      <c r="S752" s="84"/>
      <c r="T752" s="84"/>
      <c r="U752" s="84"/>
    </row>
    <row r="753" spans="19:21">
      <c r="S753" s="84"/>
      <c r="T753" s="84"/>
      <c r="U753" s="84"/>
    </row>
    <row r="754" spans="19:21">
      <c r="S754" s="84"/>
      <c r="T754" s="84"/>
      <c r="U754" s="84"/>
    </row>
    <row r="755" spans="19:21">
      <c r="S755" s="84"/>
      <c r="T755" s="84"/>
      <c r="U755" s="84"/>
    </row>
    <row r="756" spans="19:21">
      <c r="S756" s="84"/>
      <c r="T756" s="84"/>
      <c r="U756" s="84"/>
    </row>
    <row r="757" spans="19:21">
      <c r="S757" s="84"/>
      <c r="T757" s="84"/>
      <c r="U757" s="84"/>
    </row>
    <row r="758" spans="19:21">
      <c r="S758" s="84"/>
      <c r="T758" s="84"/>
      <c r="U758" s="84"/>
    </row>
    <row r="759" spans="19:21">
      <c r="S759" s="84"/>
      <c r="T759" s="84"/>
      <c r="U759" s="84"/>
    </row>
    <row r="760" spans="19:21">
      <c r="S760" s="84"/>
      <c r="T760" s="84"/>
      <c r="U760" s="84"/>
    </row>
    <row r="761" spans="19:21">
      <c r="S761" s="84"/>
      <c r="T761" s="84"/>
      <c r="U761" s="84"/>
    </row>
    <row r="762" spans="19:21">
      <c r="S762" s="84"/>
      <c r="T762" s="84"/>
      <c r="U762" s="84"/>
    </row>
    <row r="763" spans="19:21">
      <c r="S763" s="84"/>
      <c r="T763" s="84"/>
      <c r="U763" s="84"/>
    </row>
    <row r="764" spans="19:21">
      <c r="S764" s="84"/>
      <c r="T764" s="84"/>
      <c r="U764" s="84"/>
    </row>
    <row r="765" spans="19:21">
      <c r="S765" s="84"/>
      <c r="T765" s="84"/>
      <c r="U765" s="84"/>
    </row>
    <row r="766" spans="19:21">
      <c r="S766" s="84"/>
      <c r="T766" s="84"/>
      <c r="U766" s="84"/>
    </row>
    <row r="767" spans="19:21">
      <c r="S767" s="84"/>
      <c r="T767" s="84"/>
      <c r="U767" s="84"/>
    </row>
    <row r="768" spans="19:21">
      <c r="S768" s="84"/>
      <c r="T768" s="84"/>
      <c r="U768" s="84"/>
    </row>
    <row r="769" spans="19:21">
      <c r="S769" s="84"/>
      <c r="T769" s="84"/>
      <c r="U769" s="84"/>
    </row>
    <row r="770" spans="19:21">
      <c r="S770" s="84"/>
      <c r="T770" s="84"/>
      <c r="U770" s="84"/>
    </row>
    <row r="771" spans="19:21">
      <c r="S771" s="84"/>
      <c r="T771" s="84"/>
      <c r="U771" s="84"/>
    </row>
    <row r="772" spans="19:21">
      <c r="S772" s="84"/>
      <c r="T772" s="84"/>
      <c r="U772" s="84"/>
    </row>
    <row r="773" spans="19:21">
      <c r="S773" s="84"/>
      <c r="T773" s="84"/>
      <c r="U773" s="84"/>
    </row>
    <row r="774" spans="19:21">
      <c r="S774" s="84"/>
      <c r="T774" s="84"/>
      <c r="U774" s="84"/>
    </row>
    <row r="775" spans="19:21">
      <c r="S775" s="84"/>
      <c r="T775" s="84"/>
      <c r="U775" s="84"/>
    </row>
    <row r="776" spans="19:21">
      <c r="S776" s="84"/>
      <c r="T776" s="84"/>
      <c r="U776" s="84"/>
    </row>
    <row r="777" spans="19:21">
      <c r="S777" s="84"/>
      <c r="T777" s="84"/>
      <c r="U777" s="84"/>
    </row>
    <row r="778" spans="19:21">
      <c r="S778" s="84"/>
      <c r="T778" s="84"/>
      <c r="U778" s="84"/>
    </row>
    <row r="779" spans="19:21">
      <c r="S779" s="84"/>
      <c r="T779" s="84"/>
      <c r="U779" s="84"/>
    </row>
    <row r="780" spans="19:21">
      <c r="S780" s="84"/>
      <c r="T780" s="84"/>
      <c r="U780" s="84"/>
    </row>
    <row r="781" spans="19:21">
      <c r="S781" s="84"/>
      <c r="T781" s="84"/>
      <c r="U781" s="84"/>
    </row>
    <row r="782" spans="19:21">
      <c r="S782" s="84"/>
      <c r="T782" s="84"/>
      <c r="U782" s="84"/>
    </row>
    <row r="783" spans="19:21">
      <c r="S783" s="84"/>
      <c r="T783" s="84"/>
      <c r="U783" s="84"/>
    </row>
    <row r="784" spans="19:21">
      <c r="S784" s="84"/>
      <c r="T784" s="84"/>
      <c r="U784" s="84"/>
    </row>
    <row r="785" spans="19:21">
      <c r="S785" s="84"/>
      <c r="T785" s="84"/>
      <c r="U785" s="84"/>
    </row>
    <row r="786" spans="19:21">
      <c r="S786" s="84"/>
      <c r="T786" s="84"/>
      <c r="U786" s="84"/>
    </row>
    <row r="787" spans="19:21">
      <c r="S787" s="84"/>
      <c r="T787" s="84"/>
      <c r="U787" s="84"/>
    </row>
    <row r="788" spans="19:21">
      <c r="S788" s="84"/>
      <c r="T788" s="84"/>
      <c r="U788" s="84"/>
    </row>
    <row r="789" spans="19:21">
      <c r="S789" s="84"/>
      <c r="T789" s="84"/>
      <c r="U789" s="84"/>
    </row>
    <row r="790" spans="19:21">
      <c r="S790" s="84"/>
      <c r="T790" s="84"/>
      <c r="U790" s="84"/>
    </row>
    <row r="791" spans="19:21">
      <c r="S791" s="84"/>
      <c r="T791" s="84"/>
      <c r="U791" s="84"/>
    </row>
    <row r="792" spans="19:21">
      <c r="S792" s="84"/>
      <c r="T792" s="84"/>
      <c r="U792" s="84"/>
    </row>
    <row r="793" spans="19:21">
      <c r="S793" s="84"/>
      <c r="T793" s="84"/>
      <c r="U793" s="84"/>
    </row>
    <row r="794" spans="19:21">
      <c r="S794" s="84"/>
      <c r="T794" s="84"/>
      <c r="U794" s="84"/>
    </row>
    <row r="795" spans="19:21">
      <c r="S795" s="84"/>
      <c r="T795" s="84"/>
      <c r="U795" s="84"/>
    </row>
    <row r="796" spans="19:21">
      <c r="S796" s="84"/>
      <c r="T796" s="84"/>
      <c r="U796" s="84"/>
    </row>
    <row r="797" spans="19:21">
      <c r="S797" s="84"/>
      <c r="T797" s="84"/>
      <c r="U797" s="84"/>
    </row>
    <row r="798" spans="19:21">
      <c r="S798" s="84"/>
      <c r="T798" s="84"/>
      <c r="U798" s="84"/>
    </row>
    <row r="799" spans="19:21">
      <c r="S799" s="84"/>
      <c r="T799" s="84"/>
      <c r="U799" s="84"/>
    </row>
    <row r="800" spans="19:21">
      <c r="S800" s="84"/>
      <c r="T800" s="84"/>
      <c r="U800" s="84"/>
    </row>
    <row r="801" spans="19:21">
      <c r="S801" s="84"/>
      <c r="T801" s="84"/>
      <c r="U801" s="84"/>
    </row>
    <row r="802" spans="19:21">
      <c r="S802" s="84"/>
      <c r="T802" s="84"/>
      <c r="U802" s="84"/>
    </row>
    <row r="803" spans="19:21">
      <c r="S803" s="84"/>
      <c r="T803" s="84"/>
      <c r="U803" s="84"/>
    </row>
    <row r="804" spans="19:21">
      <c r="S804" s="84"/>
      <c r="T804" s="84"/>
      <c r="U804" s="84"/>
    </row>
    <row r="805" spans="19:21">
      <c r="S805" s="84"/>
      <c r="T805" s="84"/>
      <c r="U805" s="84"/>
    </row>
    <row r="806" spans="19:21">
      <c r="S806" s="84"/>
      <c r="T806" s="84"/>
      <c r="U806" s="84"/>
    </row>
    <row r="807" spans="19:21">
      <c r="S807" s="84"/>
      <c r="T807" s="84"/>
      <c r="U807" s="84"/>
    </row>
    <row r="808" spans="19:21">
      <c r="S808" s="84"/>
      <c r="T808" s="84"/>
      <c r="U808" s="84"/>
    </row>
    <row r="809" spans="19:21">
      <c r="S809" s="84"/>
      <c r="T809" s="84"/>
      <c r="U809" s="84"/>
    </row>
    <row r="810" spans="19:21">
      <c r="S810" s="84"/>
      <c r="T810" s="84"/>
      <c r="U810" s="84"/>
    </row>
    <row r="811" spans="19:21">
      <c r="S811" s="84"/>
      <c r="T811" s="84"/>
      <c r="U811" s="84"/>
    </row>
    <row r="812" spans="19:21">
      <c r="S812" s="84"/>
      <c r="T812" s="84"/>
      <c r="U812" s="84"/>
    </row>
    <row r="813" spans="19:21">
      <c r="S813" s="84"/>
      <c r="T813" s="84"/>
      <c r="U813" s="84"/>
    </row>
    <row r="814" spans="19:21">
      <c r="S814" s="84"/>
      <c r="T814" s="84"/>
      <c r="U814" s="84"/>
    </row>
    <row r="815" spans="19:21">
      <c r="S815" s="84"/>
      <c r="T815" s="84"/>
      <c r="U815" s="84"/>
    </row>
    <row r="816" spans="19:21">
      <c r="S816" s="84"/>
      <c r="T816" s="84"/>
      <c r="U816" s="84"/>
    </row>
    <row r="817" spans="19:21">
      <c r="S817" s="84"/>
      <c r="T817" s="84"/>
      <c r="U817" s="84"/>
    </row>
    <row r="818" spans="19:21">
      <c r="S818" s="84"/>
      <c r="T818" s="84"/>
      <c r="U818" s="84"/>
    </row>
    <row r="819" spans="19:21">
      <c r="S819" s="84"/>
      <c r="T819" s="84"/>
      <c r="U819" s="84"/>
    </row>
    <row r="820" spans="19:21">
      <c r="S820" s="84"/>
      <c r="T820" s="84"/>
      <c r="U820" s="84"/>
    </row>
    <row r="821" spans="19:21">
      <c r="S821" s="84"/>
      <c r="T821" s="84"/>
      <c r="U821" s="84"/>
    </row>
    <row r="822" spans="19:21">
      <c r="S822" s="84"/>
      <c r="T822" s="84"/>
      <c r="U822" s="84"/>
    </row>
    <row r="823" spans="19:21">
      <c r="S823" s="84"/>
      <c r="T823" s="84"/>
      <c r="U823" s="84"/>
    </row>
    <row r="824" spans="19:21">
      <c r="S824" s="84"/>
      <c r="T824" s="84"/>
      <c r="U824" s="84"/>
    </row>
    <row r="825" spans="19:21">
      <c r="S825" s="84"/>
      <c r="T825" s="84"/>
      <c r="U825" s="84"/>
    </row>
    <row r="826" spans="19:21">
      <c r="S826" s="84"/>
      <c r="T826" s="84"/>
      <c r="U826" s="84"/>
    </row>
    <row r="827" spans="19:21">
      <c r="S827" s="84"/>
      <c r="T827" s="84"/>
      <c r="U827" s="84"/>
    </row>
    <row r="828" spans="19:21">
      <c r="S828" s="84"/>
      <c r="T828" s="84"/>
      <c r="U828" s="84"/>
    </row>
    <row r="829" spans="19:21">
      <c r="S829" s="84"/>
      <c r="T829" s="84"/>
      <c r="U829" s="84"/>
    </row>
    <row r="830" spans="19:21">
      <c r="S830" s="84"/>
      <c r="T830" s="84"/>
      <c r="U830" s="84"/>
    </row>
    <row r="831" spans="19:21">
      <c r="S831" s="84"/>
      <c r="T831" s="84"/>
      <c r="U831" s="84"/>
    </row>
    <row r="832" spans="19:21">
      <c r="S832" s="84"/>
      <c r="T832" s="84"/>
      <c r="U832" s="84"/>
    </row>
    <row r="833" spans="19:21">
      <c r="S833" s="84"/>
      <c r="T833" s="84"/>
      <c r="U833" s="84"/>
    </row>
    <row r="834" spans="19:21">
      <c r="S834" s="84"/>
      <c r="T834" s="84"/>
      <c r="U834" s="84"/>
    </row>
    <row r="835" spans="19:21">
      <c r="S835" s="84"/>
      <c r="T835" s="84"/>
      <c r="U835" s="84"/>
    </row>
    <row r="836" spans="19:21">
      <c r="S836" s="84"/>
      <c r="T836" s="84"/>
      <c r="U836" s="84"/>
    </row>
    <row r="837" spans="19:21">
      <c r="S837" s="84"/>
      <c r="T837" s="84"/>
      <c r="U837" s="84"/>
    </row>
    <row r="838" spans="19:21">
      <c r="S838" s="84"/>
      <c r="T838" s="84"/>
      <c r="U838" s="84"/>
    </row>
    <row r="839" spans="19:21">
      <c r="S839" s="84"/>
      <c r="T839" s="84"/>
      <c r="U839" s="84"/>
    </row>
    <row r="840" spans="19:21">
      <c r="S840" s="84"/>
      <c r="T840" s="84"/>
      <c r="U840" s="84"/>
    </row>
    <row r="841" spans="19:21">
      <c r="S841" s="84"/>
      <c r="T841" s="84"/>
      <c r="U841" s="84"/>
    </row>
    <row r="842" spans="19:21">
      <c r="S842" s="84"/>
      <c r="T842" s="84"/>
      <c r="U842" s="84"/>
    </row>
    <row r="843" spans="19:21">
      <c r="S843" s="84"/>
      <c r="T843" s="84"/>
      <c r="U843" s="84"/>
    </row>
    <row r="844" spans="19:21">
      <c r="S844" s="84"/>
      <c r="T844" s="84"/>
      <c r="U844" s="84"/>
    </row>
    <row r="845" spans="19:21">
      <c r="S845" s="84"/>
      <c r="T845" s="84"/>
      <c r="U845" s="84"/>
    </row>
    <row r="846" spans="19:21">
      <c r="S846" s="84"/>
      <c r="T846" s="84"/>
      <c r="U846" s="84"/>
    </row>
    <row r="847" spans="19:21">
      <c r="S847" s="84"/>
      <c r="T847" s="84"/>
      <c r="U847" s="84"/>
    </row>
    <row r="848" spans="19:21">
      <c r="S848" s="84"/>
      <c r="T848" s="84"/>
      <c r="U848" s="84"/>
    </row>
    <row r="849" spans="19:21">
      <c r="S849" s="84"/>
      <c r="T849" s="84"/>
      <c r="U849" s="84"/>
    </row>
    <row r="850" spans="19:21">
      <c r="S850" s="84"/>
      <c r="T850" s="84"/>
      <c r="U850" s="84"/>
    </row>
    <row r="851" spans="19:21">
      <c r="S851" s="84"/>
      <c r="T851" s="84"/>
      <c r="U851" s="84"/>
    </row>
    <row r="852" spans="19:21">
      <c r="S852" s="84"/>
      <c r="T852" s="84"/>
      <c r="U852" s="84"/>
    </row>
    <row r="853" spans="19:21">
      <c r="S853" s="84"/>
      <c r="T853" s="84"/>
      <c r="U853" s="84"/>
    </row>
    <row r="854" spans="19:21">
      <c r="S854" s="84"/>
      <c r="T854" s="84"/>
      <c r="U854" s="84"/>
    </row>
    <row r="855" spans="19:21">
      <c r="S855" s="84"/>
      <c r="T855" s="84"/>
      <c r="U855" s="84"/>
    </row>
    <row r="856" spans="19:21">
      <c r="S856" s="84"/>
      <c r="T856" s="84"/>
      <c r="U856" s="84"/>
    </row>
    <row r="857" spans="19:21">
      <c r="S857" s="84"/>
      <c r="T857" s="84"/>
      <c r="U857" s="84"/>
    </row>
    <row r="858" spans="19:21">
      <c r="S858" s="84"/>
      <c r="T858" s="84"/>
      <c r="U858" s="84"/>
    </row>
    <row r="859" spans="19:21">
      <c r="S859" s="84"/>
      <c r="T859" s="84"/>
      <c r="U859" s="84"/>
    </row>
    <row r="860" spans="19:21">
      <c r="S860" s="84"/>
      <c r="T860" s="84"/>
      <c r="U860" s="84"/>
    </row>
    <row r="861" spans="19:21">
      <c r="S861" s="84"/>
      <c r="T861" s="84"/>
      <c r="U861" s="84"/>
    </row>
    <row r="862" spans="19:21">
      <c r="S862" s="84"/>
      <c r="T862" s="84"/>
      <c r="U862" s="84"/>
    </row>
    <row r="863" spans="19:21">
      <c r="S863" s="84"/>
      <c r="T863" s="84"/>
      <c r="U863" s="84"/>
    </row>
    <row r="864" spans="19:21">
      <c r="S864" s="84"/>
      <c r="T864" s="84"/>
      <c r="U864" s="84"/>
    </row>
    <row r="865" spans="19:21">
      <c r="S865" s="84"/>
      <c r="T865" s="84"/>
      <c r="U865" s="84"/>
    </row>
    <row r="866" spans="19:21">
      <c r="S866" s="84"/>
      <c r="T866" s="84"/>
      <c r="U866" s="84"/>
    </row>
    <row r="867" spans="19:21">
      <c r="S867" s="84"/>
      <c r="T867" s="84"/>
      <c r="U867" s="84"/>
    </row>
    <row r="868" spans="19:21">
      <c r="S868" s="84"/>
      <c r="T868" s="84"/>
      <c r="U868" s="84"/>
    </row>
    <row r="869" spans="19:21">
      <c r="S869" s="84"/>
      <c r="T869" s="84"/>
      <c r="U869" s="84"/>
    </row>
    <row r="870" spans="19:21">
      <c r="S870" s="84"/>
      <c r="T870" s="84"/>
      <c r="U870" s="84"/>
    </row>
    <row r="871" spans="19:21">
      <c r="S871" s="84"/>
      <c r="T871" s="84"/>
      <c r="U871" s="84"/>
    </row>
    <row r="872" spans="19:21">
      <c r="S872" s="84"/>
      <c r="T872" s="84"/>
      <c r="U872" s="84"/>
    </row>
    <row r="873" spans="19:21">
      <c r="S873" s="84"/>
      <c r="T873" s="84"/>
      <c r="U873" s="84"/>
    </row>
    <row r="874" spans="19:21">
      <c r="S874" s="84"/>
      <c r="T874" s="84"/>
      <c r="U874" s="84"/>
    </row>
    <row r="875" spans="19:21">
      <c r="S875" s="84"/>
      <c r="T875" s="84"/>
      <c r="U875" s="84"/>
    </row>
    <row r="876" spans="19:21">
      <c r="S876" s="84"/>
      <c r="T876" s="84"/>
      <c r="U876" s="84"/>
    </row>
    <row r="877" spans="19:21">
      <c r="S877" s="84"/>
      <c r="T877" s="84"/>
      <c r="U877" s="84"/>
    </row>
    <row r="878" spans="19:21">
      <c r="S878" s="84"/>
      <c r="T878" s="84"/>
      <c r="U878" s="84"/>
    </row>
    <row r="879" spans="19:21">
      <c r="S879" s="84"/>
      <c r="T879" s="84"/>
      <c r="U879" s="84"/>
    </row>
    <row r="880" spans="19:21">
      <c r="S880" s="84"/>
      <c r="T880" s="84"/>
      <c r="U880" s="84"/>
    </row>
    <row r="881" spans="19:21">
      <c r="S881" s="84"/>
      <c r="T881" s="84"/>
      <c r="U881" s="84"/>
    </row>
    <row r="882" spans="19:21">
      <c r="S882" s="84"/>
      <c r="T882" s="84"/>
      <c r="U882" s="84"/>
    </row>
    <row r="883" spans="19:21">
      <c r="S883" s="84"/>
      <c r="T883" s="84"/>
      <c r="U883" s="84"/>
    </row>
    <row r="884" spans="19:21">
      <c r="S884" s="84"/>
      <c r="T884" s="84"/>
      <c r="U884" s="84"/>
    </row>
    <row r="885" spans="19:21">
      <c r="S885" s="84"/>
      <c r="T885" s="84"/>
      <c r="U885" s="84"/>
    </row>
    <row r="886" spans="19:21">
      <c r="S886" s="84"/>
      <c r="T886" s="84"/>
      <c r="U886" s="84"/>
    </row>
    <row r="887" spans="19:21">
      <c r="S887" s="84"/>
      <c r="T887" s="84"/>
      <c r="U887" s="84"/>
    </row>
    <row r="888" spans="19:21">
      <c r="S888" s="84"/>
      <c r="T888" s="84"/>
      <c r="U888" s="84"/>
    </row>
    <row r="889" spans="19:21">
      <c r="S889" s="84"/>
      <c r="T889" s="84"/>
      <c r="U889" s="84"/>
    </row>
    <row r="890" spans="19:21">
      <c r="S890" s="84"/>
      <c r="T890" s="84"/>
      <c r="U890" s="84"/>
    </row>
    <row r="891" spans="19:21">
      <c r="S891" s="84"/>
      <c r="T891" s="84"/>
      <c r="U891" s="84"/>
    </row>
    <row r="892" spans="19:21">
      <c r="S892" s="84"/>
      <c r="T892" s="84"/>
      <c r="U892" s="84"/>
    </row>
    <row r="893" spans="19:21">
      <c r="S893" s="84"/>
      <c r="T893" s="84"/>
      <c r="U893" s="84"/>
    </row>
    <row r="894" spans="19:21">
      <c r="S894" s="84"/>
      <c r="T894" s="84"/>
      <c r="U894" s="84"/>
    </row>
    <row r="895" spans="19:21">
      <c r="S895" s="84"/>
      <c r="T895" s="84"/>
      <c r="U895" s="84"/>
    </row>
    <row r="896" spans="19:21">
      <c r="S896" s="84"/>
      <c r="T896" s="84"/>
      <c r="U896" s="84"/>
    </row>
    <row r="897" spans="19:21">
      <c r="S897" s="84"/>
      <c r="T897" s="84"/>
      <c r="U897" s="84"/>
    </row>
    <row r="898" spans="19:21">
      <c r="S898" s="84"/>
      <c r="T898" s="84"/>
      <c r="U898" s="84"/>
    </row>
    <row r="899" spans="19:21">
      <c r="S899" s="84"/>
      <c r="T899" s="84"/>
      <c r="U899" s="84"/>
    </row>
    <row r="900" spans="19:21">
      <c r="S900" s="84"/>
      <c r="T900" s="84"/>
      <c r="U900" s="84"/>
    </row>
    <row r="901" spans="19:21">
      <c r="S901" s="84"/>
      <c r="T901" s="84"/>
      <c r="U901" s="84"/>
    </row>
    <row r="902" spans="19:21">
      <c r="S902" s="84"/>
      <c r="T902" s="84"/>
      <c r="U902" s="84"/>
    </row>
    <row r="903" spans="19:21">
      <c r="S903" s="84"/>
      <c r="T903" s="84"/>
      <c r="U903" s="84"/>
    </row>
    <row r="904" spans="19:21">
      <c r="S904" s="84"/>
      <c r="T904" s="84"/>
      <c r="U904" s="84"/>
    </row>
    <row r="905" spans="19:21">
      <c r="S905" s="84"/>
      <c r="T905" s="84"/>
      <c r="U905" s="84"/>
    </row>
    <row r="906" spans="19:21">
      <c r="S906" s="84"/>
      <c r="T906" s="84"/>
      <c r="U906" s="84"/>
    </row>
    <row r="907" spans="19:21">
      <c r="S907" s="84"/>
      <c r="T907" s="84"/>
      <c r="U907" s="84"/>
    </row>
    <row r="908" spans="19:21">
      <c r="S908" s="84"/>
      <c r="T908" s="84"/>
      <c r="U908" s="84"/>
    </row>
    <row r="909" spans="19:21">
      <c r="S909" s="84"/>
      <c r="T909" s="84"/>
      <c r="U909" s="84"/>
    </row>
    <row r="910" spans="19:21">
      <c r="S910" s="84"/>
      <c r="T910" s="84"/>
      <c r="U910" s="84"/>
    </row>
    <row r="911" spans="19:21">
      <c r="S911" s="84"/>
      <c r="T911" s="84"/>
      <c r="U911" s="84"/>
    </row>
    <row r="912" spans="19:21">
      <c r="S912" s="84"/>
      <c r="T912" s="84"/>
      <c r="U912" s="84"/>
    </row>
    <row r="913" spans="19:21">
      <c r="S913" s="84"/>
      <c r="T913" s="84"/>
      <c r="U913" s="84"/>
    </row>
    <row r="914" spans="19:21">
      <c r="S914" s="84"/>
      <c r="T914" s="84"/>
      <c r="U914" s="84"/>
    </row>
    <row r="915" spans="19:21">
      <c r="S915" s="84"/>
      <c r="T915" s="84"/>
      <c r="U915" s="84"/>
    </row>
    <row r="916" spans="19:21">
      <c r="S916" s="84"/>
      <c r="T916" s="84"/>
      <c r="U916" s="84"/>
    </row>
    <row r="917" spans="19:21">
      <c r="S917" s="84"/>
      <c r="T917" s="84"/>
      <c r="U917" s="84"/>
    </row>
    <row r="918" spans="19:21">
      <c r="S918" s="84"/>
      <c r="T918" s="84"/>
      <c r="U918" s="84"/>
    </row>
    <row r="919" spans="19:21">
      <c r="S919" s="84"/>
      <c r="T919" s="84"/>
      <c r="U919" s="84"/>
    </row>
    <row r="920" spans="19:21">
      <c r="S920" s="84"/>
      <c r="T920" s="84"/>
      <c r="U920" s="84"/>
    </row>
    <row r="921" spans="19:21">
      <c r="S921" s="84"/>
      <c r="T921" s="84"/>
      <c r="U921" s="84"/>
    </row>
    <row r="922" spans="19:21">
      <c r="S922" s="84"/>
      <c r="T922" s="84"/>
      <c r="U922" s="84"/>
    </row>
    <row r="923" spans="19:21">
      <c r="S923" s="84"/>
      <c r="T923" s="84"/>
      <c r="U923" s="84"/>
    </row>
    <row r="924" spans="19:21">
      <c r="S924" s="84"/>
      <c r="T924" s="84"/>
      <c r="U924" s="84"/>
    </row>
    <row r="925" spans="19:21">
      <c r="S925" s="84"/>
      <c r="T925" s="84"/>
      <c r="U925" s="84"/>
    </row>
    <row r="926" spans="19:21">
      <c r="S926" s="84"/>
      <c r="T926" s="84"/>
      <c r="U926" s="84"/>
    </row>
    <row r="927" spans="19:21">
      <c r="S927" s="84"/>
      <c r="T927" s="84"/>
      <c r="U927" s="84"/>
    </row>
    <row r="928" spans="19:21">
      <c r="S928" s="84"/>
      <c r="T928" s="84"/>
      <c r="U928" s="84"/>
    </row>
    <row r="929" spans="19:21">
      <c r="S929" s="84"/>
      <c r="T929" s="84"/>
      <c r="U929" s="84"/>
    </row>
    <row r="930" spans="19:21">
      <c r="S930" s="84"/>
      <c r="T930" s="84"/>
      <c r="U930" s="84"/>
    </row>
    <row r="931" spans="19:21">
      <c r="S931" s="84"/>
      <c r="T931" s="84"/>
      <c r="U931" s="84"/>
    </row>
    <row r="932" spans="19:21">
      <c r="S932" s="84"/>
      <c r="T932" s="84"/>
      <c r="U932" s="84"/>
    </row>
    <row r="933" spans="19:21">
      <c r="S933" s="84"/>
      <c r="T933" s="84"/>
      <c r="U933" s="84"/>
    </row>
    <row r="934" spans="19:21">
      <c r="S934" s="84"/>
      <c r="T934" s="84"/>
      <c r="U934" s="84"/>
    </row>
    <row r="935" spans="19:21">
      <c r="S935" s="84"/>
      <c r="T935" s="84"/>
      <c r="U935" s="84"/>
    </row>
    <row r="936" spans="19:21">
      <c r="S936" s="84"/>
      <c r="T936" s="84"/>
      <c r="U936" s="84"/>
    </row>
    <row r="937" spans="19:21">
      <c r="S937" s="84"/>
      <c r="T937" s="84"/>
      <c r="U937" s="84"/>
    </row>
    <row r="938" spans="19:21">
      <c r="S938" s="84"/>
      <c r="T938" s="84"/>
      <c r="U938" s="84"/>
    </row>
    <row r="939" spans="19:21">
      <c r="S939" s="84"/>
      <c r="T939" s="84"/>
      <c r="U939" s="84"/>
    </row>
    <row r="940" spans="19:21">
      <c r="S940" s="84"/>
      <c r="T940" s="84"/>
      <c r="U940" s="84"/>
    </row>
    <row r="941" spans="19:21">
      <c r="S941" s="84"/>
      <c r="T941" s="84"/>
      <c r="U941" s="84"/>
    </row>
    <row r="942" spans="19:21">
      <c r="S942" s="84"/>
      <c r="T942" s="84"/>
      <c r="U942" s="84"/>
    </row>
    <row r="943" spans="19:21">
      <c r="S943" s="84"/>
      <c r="T943" s="84"/>
      <c r="U943" s="84"/>
    </row>
    <row r="944" spans="19:21">
      <c r="S944" s="84"/>
      <c r="T944" s="84"/>
      <c r="U944" s="84"/>
    </row>
    <row r="945" spans="19:21">
      <c r="S945" s="84"/>
      <c r="T945" s="84"/>
      <c r="U945" s="84"/>
    </row>
    <row r="946" spans="19:21">
      <c r="S946" s="84"/>
      <c r="T946" s="84"/>
      <c r="U946" s="84"/>
    </row>
    <row r="947" spans="19:21">
      <c r="S947" s="84"/>
      <c r="T947" s="84"/>
      <c r="U947" s="84"/>
    </row>
    <row r="948" spans="19:21">
      <c r="S948" s="84"/>
      <c r="T948" s="84"/>
      <c r="U948" s="84"/>
    </row>
    <row r="949" spans="19:21">
      <c r="S949" s="84"/>
      <c r="T949" s="84"/>
      <c r="U949" s="84"/>
    </row>
    <row r="950" spans="19:21">
      <c r="S950" s="84"/>
      <c r="T950" s="84"/>
      <c r="U950" s="84"/>
    </row>
    <row r="951" spans="19:21">
      <c r="S951" s="84"/>
      <c r="T951" s="84"/>
      <c r="U951" s="84"/>
    </row>
    <row r="952" spans="19:21">
      <c r="S952" s="84"/>
      <c r="T952" s="84"/>
      <c r="U952" s="84"/>
    </row>
    <row r="953" spans="19:21">
      <c r="S953" s="84"/>
      <c r="T953" s="84"/>
      <c r="U953" s="84"/>
    </row>
    <row r="954" spans="19:21">
      <c r="S954" s="84"/>
      <c r="T954" s="84"/>
      <c r="U954" s="84"/>
    </row>
    <row r="955" spans="19:21">
      <c r="S955" s="84"/>
      <c r="T955" s="84"/>
      <c r="U955" s="84"/>
    </row>
    <row r="956" spans="19:21">
      <c r="S956" s="84"/>
      <c r="T956" s="84"/>
      <c r="U956" s="84"/>
    </row>
    <row r="957" spans="19:21">
      <c r="S957" s="84"/>
      <c r="T957" s="84"/>
      <c r="U957" s="84"/>
    </row>
    <row r="958" spans="19:21">
      <c r="S958" s="84"/>
      <c r="T958" s="84"/>
      <c r="U958" s="84"/>
    </row>
    <row r="959" spans="19:21">
      <c r="S959" s="84"/>
      <c r="T959" s="84"/>
      <c r="U959" s="84"/>
    </row>
    <row r="960" spans="19:21">
      <c r="S960" s="84"/>
      <c r="T960" s="84"/>
      <c r="U960" s="84"/>
    </row>
    <row r="961" spans="19:21">
      <c r="S961" s="84"/>
      <c r="T961" s="84"/>
      <c r="U961" s="84"/>
    </row>
    <row r="962" spans="19:21">
      <c r="S962" s="84"/>
      <c r="T962" s="84"/>
      <c r="U962" s="84"/>
    </row>
    <row r="963" spans="19:21">
      <c r="S963" s="84"/>
      <c r="T963" s="84"/>
      <c r="U963" s="84"/>
    </row>
    <row r="964" spans="19:21">
      <c r="S964" s="84"/>
      <c r="T964" s="84"/>
      <c r="U964" s="84"/>
    </row>
    <row r="965" spans="19:21">
      <c r="S965" s="84"/>
      <c r="T965" s="84"/>
      <c r="U965" s="84"/>
    </row>
    <row r="966" spans="19:21">
      <c r="S966" s="84"/>
      <c r="T966" s="84"/>
      <c r="U966" s="84"/>
    </row>
    <row r="967" spans="19:21">
      <c r="S967" s="84"/>
      <c r="T967" s="84"/>
      <c r="U967" s="84"/>
    </row>
    <row r="968" spans="19:21">
      <c r="S968" s="84"/>
      <c r="T968" s="84"/>
      <c r="U968" s="84"/>
    </row>
    <row r="969" spans="19:21">
      <c r="S969" s="84"/>
      <c r="T969" s="84"/>
      <c r="U969" s="84"/>
    </row>
    <row r="970" spans="19:21">
      <c r="S970" s="84"/>
      <c r="T970" s="84"/>
      <c r="U970" s="84"/>
    </row>
    <row r="971" spans="19:21">
      <c r="S971" s="84"/>
      <c r="T971" s="84"/>
      <c r="U971" s="84"/>
    </row>
    <row r="972" spans="19:21">
      <c r="S972" s="84"/>
      <c r="T972" s="84"/>
      <c r="U972" s="84"/>
    </row>
    <row r="973" spans="19:21">
      <c r="S973" s="84"/>
      <c r="T973" s="84"/>
      <c r="U973" s="84"/>
    </row>
    <row r="974" spans="19:21">
      <c r="S974" s="84"/>
      <c r="T974" s="84"/>
      <c r="U974" s="84"/>
    </row>
    <row r="975" spans="19:21">
      <c r="S975" s="84"/>
      <c r="T975" s="84"/>
      <c r="U975" s="84"/>
    </row>
    <row r="976" spans="19:21">
      <c r="S976" s="84"/>
      <c r="T976" s="84"/>
      <c r="U976" s="84"/>
    </row>
    <row r="977" spans="19:21">
      <c r="S977" s="84"/>
      <c r="T977" s="84"/>
      <c r="U977" s="84"/>
    </row>
    <row r="978" spans="19:21">
      <c r="S978" s="84"/>
      <c r="T978" s="84"/>
      <c r="U978" s="84"/>
    </row>
    <row r="979" spans="19:21">
      <c r="S979" s="84"/>
      <c r="T979" s="84"/>
      <c r="U979" s="84"/>
    </row>
    <row r="980" spans="19:21">
      <c r="S980" s="84"/>
      <c r="T980" s="84"/>
      <c r="U980" s="84"/>
    </row>
    <row r="981" spans="19:21">
      <c r="S981" s="84"/>
      <c r="T981" s="84"/>
      <c r="U981" s="84"/>
    </row>
    <row r="982" spans="19:21">
      <c r="S982" s="84"/>
      <c r="T982" s="84"/>
      <c r="U982" s="84"/>
    </row>
    <row r="983" spans="19:21">
      <c r="S983" s="84"/>
      <c r="T983" s="84"/>
      <c r="U983" s="84"/>
    </row>
    <row r="984" spans="19:21">
      <c r="S984" s="84"/>
      <c r="T984" s="84"/>
      <c r="U984" s="84"/>
    </row>
    <row r="985" spans="19:21">
      <c r="S985" s="84"/>
      <c r="T985" s="84"/>
      <c r="U985" s="84"/>
    </row>
    <row r="986" spans="19:21">
      <c r="S986" s="84"/>
      <c r="T986" s="84"/>
      <c r="U986" s="84"/>
    </row>
    <row r="987" spans="19:21">
      <c r="S987" s="84"/>
      <c r="T987" s="84"/>
      <c r="U987" s="84"/>
    </row>
    <row r="988" spans="19:21">
      <c r="S988" s="84"/>
      <c r="T988" s="84"/>
      <c r="U988" s="84"/>
    </row>
    <row r="989" spans="19:21">
      <c r="S989" s="84"/>
      <c r="T989" s="84"/>
      <c r="U989" s="84"/>
    </row>
    <row r="990" spans="19:21">
      <c r="S990" s="84"/>
      <c r="T990" s="84"/>
      <c r="U990" s="84"/>
    </row>
    <row r="991" spans="19:21">
      <c r="S991" s="84"/>
      <c r="T991" s="84"/>
      <c r="U991" s="84"/>
    </row>
    <row r="992" spans="19:21">
      <c r="S992" s="84"/>
      <c r="T992" s="84"/>
      <c r="U992" s="84"/>
    </row>
    <row r="993" spans="19:21">
      <c r="S993" s="84"/>
      <c r="T993" s="84"/>
      <c r="U993" s="84"/>
    </row>
    <row r="994" spans="19:21">
      <c r="S994" s="84"/>
      <c r="T994" s="84"/>
      <c r="U994" s="84"/>
    </row>
    <row r="995" spans="19:21">
      <c r="S995" s="84"/>
      <c r="T995" s="84"/>
      <c r="U995" s="84"/>
    </row>
    <row r="996" spans="19:21">
      <c r="S996" s="84"/>
      <c r="T996" s="84"/>
      <c r="U996" s="84"/>
    </row>
    <row r="997" spans="19:21">
      <c r="S997" s="84"/>
      <c r="T997" s="84"/>
      <c r="U997" s="84"/>
    </row>
    <row r="998" spans="19:21">
      <c r="S998" s="84"/>
      <c r="T998" s="84"/>
      <c r="U998" s="84"/>
    </row>
    <row r="999" spans="19:21">
      <c r="S999" s="84"/>
      <c r="T999" s="84"/>
      <c r="U999" s="84"/>
    </row>
    <row r="1000" spans="19:21">
      <c r="S1000" s="84"/>
      <c r="T1000" s="84"/>
      <c r="U1000" s="84"/>
    </row>
    <row r="1001" spans="19:21">
      <c r="S1001" s="84"/>
      <c r="T1001" s="84"/>
      <c r="U1001" s="84"/>
    </row>
    <row r="1002" spans="19:21">
      <c r="S1002" s="84"/>
      <c r="T1002" s="84"/>
      <c r="U1002" s="84"/>
    </row>
    <row r="1003" spans="19:21">
      <c r="S1003" s="84"/>
      <c r="T1003" s="84"/>
      <c r="U1003" s="84"/>
    </row>
    <row r="1004" spans="19:21">
      <c r="S1004" s="84"/>
      <c r="T1004" s="84"/>
      <c r="U1004" s="84"/>
    </row>
    <row r="1005" spans="19:21">
      <c r="S1005" s="84"/>
      <c r="T1005" s="84"/>
      <c r="U1005" s="84"/>
    </row>
    <row r="1006" spans="19:21">
      <c r="S1006" s="84"/>
      <c r="T1006" s="84"/>
      <c r="U1006" s="84"/>
    </row>
    <row r="1007" spans="19:21">
      <c r="S1007" s="84"/>
      <c r="T1007" s="84"/>
      <c r="U1007" s="84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18.5703125" customWidth="1"/>
    <col min="2" max="2" width="4.85546875" customWidth="1"/>
    <col min="3" max="3" width="5.42578125" customWidth="1"/>
    <col min="4" max="4" width="8.7109375" customWidth="1"/>
    <col min="5" max="5" width="14.28515625" customWidth="1"/>
    <col min="6" max="6" width="15.7109375" customWidth="1"/>
    <col min="7" max="7" width="13.5703125" customWidth="1"/>
    <col min="8" max="8" width="17.42578125" customWidth="1"/>
    <col min="9" max="9" width="15.42578125" customWidth="1"/>
    <col min="10" max="10" width="12.85546875" customWidth="1"/>
    <col min="11" max="11" width="14.42578125" customWidth="1"/>
    <col min="12" max="12" width="12.85546875" customWidth="1"/>
    <col min="13" max="13" width="13.28515625" customWidth="1"/>
    <col min="14" max="14" width="11.85546875" customWidth="1"/>
    <col min="15" max="15" width="12" customWidth="1"/>
    <col min="16" max="16" width="14.28515625" customWidth="1"/>
    <col min="17" max="17" width="15.42578125" customWidth="1"/>
    <col min="18" max="18" width="16.85546875" customWidth="1"/>
    <col min="19" max="26" width="8.5703125" customWidth="1"/>
  </cols>
  <sheetData>
    <row r="1" spans="1:26" ht="51.75">
      <c r="A1" s="120" t="s">
        <v>165</v>
      </c>
      <c r="B1" s="120"/>
      <c r="C1" s="121" t="s">
        <v>166</v>
      </c>
      <c r="D1" s="121" t="s">
        <v>3</v>
      </c>
      <c r="E1" s="122" t="s">
        <v>167</v>
      </c>
      <c r="F1" s="122" t="s">
        <v>168</v>
      </c>
      <c r="G1" s="122" t="s">
        <v>169</v>
      </c>
      <c r="H1" s="122" t="s">
        <v>170</v>
      </c>
      <c r="I1" s="122" t="s">
        <v>171</v>
      </c>
      <c r="J1" s="122" t="s">
        <v>172</v>
      </c>
      <c r="K1" s="122" t="s">
        <v>173</v>
      </c>
      <c r="L1" s="122" t="s">
        <v>174</v>
      </c>
      <c r="M1" s="122" t="s">
        <v>175</v>
      </c>
      <c r="N1" s="122" t="s">
        <v>81</v>
      </c>
      <c r="O1" s="122" t="s">
        <v>6</v>
      </c>
      <c r="P1" s="122" t="s">
        <v>176</v>
      </c>
      <c r="Q1" s="122" t="s">
        <v>177</v>
      </c>
      <c r="R1" s="123"/>
      <c r="S1" s="123"/>
      <c r="T1" s="123"/>
      <c r="U1" s="123"/>
      <c r="V1" s="123"/>
      <c r="W1" s="7"/>
      <c r="X1" s="7"/>
      <c r="Y1" s="7"/>
      <c r="Z1" s="7"/>
    </row>
    <row r="2" spans="1:26" ht="24.75">
      <c r="A2" s="124"/>
      <c r="B2" s="125"/>
      <c r="C2" s="126"/>
      <c r="D2" s="126"/>
      <c r="E2" s="127"/>
      <c r="F2" s="128" t="s">
        <v>178</v>
      </c>
      <c r="G2" s="128" t="s">
        <v>178</v>
      </c>
      <c r="H2" s="128" t="s">
        <v>178</v>
      </c>
      <c r="I2" s="128" t="s">
        <v>178</v>
      </c>
      <c r="J2" s="128" t="s">
        <v>178</v>
      </c>
      <c r="K2" s="128" t="s">
        <v>178</v>
      </c>
      <c r="L2" s="128" t="s">
        <v>178</v>
      </c>
      <c r="M2" s="128" t="s">
        <v>178</v>
      </c>
      <c r="N2" s="128" t="s">
        <v>178</v>
      </c>
      <c r="O2" s="128" t="s">
        <v>178</v>
      </c>
      <c r="P2" s="128" t="s">
        <v>178</v>
      </c>
      <c r="Q2" s="128" t="s">
        <v>178</v>
      </c>
    </row>
    <row r="3" spans="1:26">
      <c r="A3" s="232" t="s">
        <v>179</v>
      </c>
      <c r="B3" s="233"/>
      <c r="C3" s="129">
        <v>4</v>
      </c>
      <c r="D3" s="130">
        <v>9974</v>
      </c>
      <c r="E3" s="131">
        <v>488</v>
      </c>
      <c r="F3" s="131">
        <v>122</v>
      </c>
      <c r="G3" s="132">
        <v>0.13</v>
      </c>
      <c r="H3" s="131">
        <v>515</v>
      </c>
      <c r="I3" s="132">
        <v>0.13</v>
      </c>
      <c r="J3" s="131">
        <v>1003</v>
      </c>
      <c r="K3" s="131">
        <v>8618</v>
      </c>
      <c r="L3" s="133">
        <v>0.2</v>
      </c>
      <c r="M3" s="133">
        <v>0.35</v>
      </c>
      <c r="N3" s="134">
        <v>28.14</v>
      </c>
      <c r="O3" s="134">
        <v>4763</v>
      </c>
      <c r="P3" s="134">
        <v>11811</v>
      </c>
      <c r="Q3" s="133">
        <v>0.18</v>
      </c>
    </row>
    <row r="4" spans="1:26">
      <c r="A4" s="129"/>
      <c r="B4" s="135"/>
      <c r="C4" s="135"/>
      <c r="D4" s="135"/>
      <c r="E4" s="131"/>
      <c r="F4" s="131"/>
      <c r="G4" s="132"/>
      <c r="H4" s="131"/>
      <c r="I4" s="132"/>
      <c r="J4" s="131"/>
      <c r="K4" s="131"/>
      <c r="L4" s="133"/>
      <c r="M4" s="133"/>
      <c r="N4" s="134"/>
      <c r="O4" s="134"/>
      <c r="P4" s="134"/>
      <c r="Q4" s="133"/>
    </row>
    <row r="5" spans="1:26">
      <c r="A5" s="232" t="s">
        <v>180</v>
      </c>
      <c r="B5" s="233"/>
      <c r="C5" s="129">
        <v>2</v>
      </c>
      <c r="D5" s="130">
        <v>18108</v>
      </c>
      <c r="E5" s="131">
        <v>0</v>
      </c>
      <c r="F5" s="131">
        <v>0</v>
      </c>
      <c r="G5" s="132">
        <v>0</v>
      </c>
      <c r="H5" s="131">
        <v>256</v>
      </c>
      <c r="I5" s="132">
        <v>0.11</v>
      </c>
      <c r="J5" s="131">
        <v>256</v>
      </c>
      <c r="K5" s="131">
        <v>5218</v>
      </c>
      <c r="L5" s="133">
        <v>0.24</v>
      </c>
      <c r="M5" s="133">
        <v>0.26</v>
      </c>
      <c r="N5" s="134">
        <v>37</v>
      </c>
      <c r="O5" s="134">
        <v>1856</v>
      </c>
      <c r="P5" s="134">
        <v>4604</v>
      </c>
      <c r="Q5" s="133">
        <v>0.16</v>
      </c>
    </row>
    <row r="6" spans="1:26">
      <c r="A6" s="124"/>
      <c r="B6" s="125"/>
      <c r="C6" s="126"/>
      <c r="D6" s="126"/>
      <c r="E6" s="127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</row>
    <row r="7" spans="1:26" ht="24.75">
      <c r="A7" s="232" t="s">
        <v>181</v>
      </c>
      <c r="B7" s="233"/>
      <c r="C7" s="129">
        <v>4</v>
      </c>
      <c r="D7" s="130">
        <v>10031</v>
      </c>
      <c r="E7" s="131">
        <v>219</v>
      </c>
      <c r="F7" s="136" t="s">
        <v>178</v>
      </c>
      <c r="G7" s="132">
        <v>0.05</v>
      </c>
      <c r="H7" s="131">
        <v>5</v>
      </c>
      <c r="I7" s="132">
        <v>0</v>
      </c>
      <c r="J7" s="131">
        <v>224</v>
      </c>
      <c r="K7" s="136" t="s">
        <v>178</v>
      </c>
      <c r="L7" s="133">
        <v>0</v>
      </c>
      <c r="M7" s="133">
        <v>0.09</v>
      </c>
      <c r="N7" s="134">
        <v>22</v>
      </c>
      <c r="O7" s="134">
        <v>6064</v>
      </c>
      <c r="P7" s="134">
        <v>15038</v>
      </c>
      <c r="Q7" s="133">
        <v>0.04</v>
      </c>
    </row>
    <row r="8" spans="1:26">
      <c r="A8" s="124"/>
      <c r="B8" s="125"/>
      <c r="C8" s="126"/>
      <c r="D8" s="137"/>
      <c r="E8" s="127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</row>
    <row r="9" spans="1:26">
      <c r="A9" s="232" t="s">
        <v>182</v>
      </c>
      <c r="B9" s="233"/>
      <c r="C9" s="129">
        <v>4</v>
      </c>
      <c r="D9" s="130">
        <v>31010</v>
      </c>
      <c r="E9" s="131">
        <v>543</v>
      </c>
      <c r="F9" s="131">
        <v>68</v>
      </c>
      <c r="G9" s="132">
        <v>0.23</v>
      </c>
      <c r="H9" s="131">
        <v>341</v>
      </c>
      <c r="I9" s="132">
        <v>0.05</v>
      </c>
      <c r="J9" s="131">
        <v>884</v>
      </c>
      <c r="K9" s="131">
        <v>13004</v>
      </c>
      <c r="L9" s="133">
        <v>0</v>
      </c>
      <c r="M9" s="133">
        <v>0.23</v>
      </c>
      <c r="N9" s="134">
        <v>55.26</v>
      </c>
      <c r="O9" s="134">
        <v>3161</v>
      </c>
      <c r="P9" s="134">
        <v>7838</v>
      </c>
      <c r="Q9" s="133">
        <v>0.22</v>
      </c>
      <c r="R9" s="11"/>
    </row>
    <row r="10" spans="1:26">
      <c r="A10" s="138"/>
      <c r="B10" s="139"/>
      <c r="C10" s="139"/>
      <c r="D10" s="139"/>
      <c r="E10" s="131"/>
      <c r="F10" s="131"/>
      <c r="G10" s="132"/>
      <c r="H10" s="131"/>
      <c r="I10" s="132"/>
      <c r="J10" s="131"/>
      <c r="K10" s="131"/>
      <c r="L10" s="133"/>
      <c r="M10" s="133"/>
      <c r="N10" s="134"/>
      <c r="O10" s="134"/>
      <c r="P10" s="134"/>
      <c r="Q10" s="133"/>
    </row>
    <row r="11" spans="1:26">
      <c r="A11" s="138" t="s">
        <v>183</v>
      </c>
      <c r="B11" s="139"/>
      <c r="C11" s="139">
        <v>2</v>
      </c>
      <c r="D11" s="140">
        <v>27055</v>
      </c>
      <c r="E11" s="131"/>
      <c r="F11" s="131"/>
      <c r="G11" s="132"/>
      <c r="H11" s="131"/>
      <c r="I11" s="132"/>
      <c r="J11" s="131">
        <v>338</v>
      </c>
      <c r="K11" s="131"/>
      <c r="L11" s="133"/>
      <c r="M11" s="133"/>
      <c r="N11" s="134"/>
      <c r="O11" s="141">
        <v>4261</v>
      </c>
      <c r="P11" s="134"/>
      <c r="Q11" s="133"/>
    </row>
    <row r="12" spans="1:26">
      <c r="A12" s="138"/>
      <c r="B12" s="139"/>
      <c r="C12" s="139"/>
      <c r="D12" s="140"/>
      <c r="E12" s="131"/>
      <c r="F12" s="131"/>
      <c r="G12" s="132"/>
      <c r="H12" s="131"/>
      <c r="I12" s="132"/>
      <c r="J12" s="131"/>
      <c r="K12" s="131"/>
      <c r="L12" s="133"/>
      <c r="M12" s="133"/>
      <c r="N12" s="134"/>
      <c r="O12" s="134"/>
      <c r="P12" s="134"/>
      <c r="Q12" s="133"/>
    </row>
    <row r="13" spans="1:26" ht="24.75">
      <c r="A13" s="232" t="s">
        <v>184</v>
      </c>
      <c r="B13" s="233"/>
      <c r="C13" s="129">
        <v>16</v>
      </c>
      <c r="D13" s="130">
        <v>25025</v>
      </c>
      <c r="E13" s="131">
        <v>0</v>
      </c>
      <c r="F13" s="131">
        <v>0</v>
      </c>
      <c r="G13" s="132">
        <v>0</v>
      </c>
      <c r="H13" s="131">
        <v>1275</v>
      </c>
      <c r="I13" s="132">
        <v>0.09</v>
      </c>
      <c r="J13" s="131">
        <v>1275</v>
      </c>
      <c r="K13" s="136" t="s">
        <v>178</v>
      </c>
      <c r="L13" s="133">
        <v>0</v>
      </c>
      <c r="M13" s="133">
        <v>0.14000000000000001</v>
      </c>
      <c r="N13" s="134">
        <v>137</v>
      </c>
      <c r="O13" s="134">
        <v>7833</v>
      </c>
      <c r="P13" s="134">
        <v>19425</v>
      </c>
      <c r="Q13" s="133">
        <v>0.09</v>
      </c>
    </row>
    <row r="14" spans="1:26">
      <c r="A14" s="124"/>
      <c r="B14" s="125"/>
      <c r="C14" s="126"/>
      <c r="D14" s="126"/>
      <c r="E14" s="127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</row>
    <row r="15" spans="1:26">
      <c r="A15" s="232" t="s">
        <v>185</v>
      </c>
      <c r="B15" s="233"/>
      <c r="C15" s="129">
        <v>8</v>
      </c>
      <c r="D15" s="130">
        <v>19030</v>
      </c>
      <c r="E15" s="131">
        <v>2248</v>
      </c>
      <c r="F15" s="131">
        <v>281</v>
      </c>
      <c r="G15" s="132">
        <v>0.19</v>
      </c>
      <c r="H15" s="131">
        <v>0</v>
      </c>
      <c r="I15" s="132">
        <v>0</v>
      </c>
      <c r="J15" s="131">
        <v>2248</v>
      </c>
      <c r="K15" s="131">
        <v>14200</v>
      </c>
      <c r="L15" s="133">
        <v>0</v>
      </c>
      <c r="M15" s="133">
        <v>0.22</v>
      </c>
      <c r="N15" s="134">
        <v>57</v>
      </c>
      <c r="O15" s="134">
        <v>3893</v>
      </c>
      <c r="P15" s="134">
        <v>9654</v>
      </c>
      <c r="Q15" s="133">
        <v>0.14000000000000001</v>
      </c>
    </row>
    <row r="16" spans="1:26">
      <c r="A16" s="124"/>
      <c r="B16" s="125"/>
      <c r="C16" s="126"/>
      <c r="D16" s="137">
        <v>75700</v>
      </c>
      <c r="E16" s="127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</row>
    <row r="17" spans="1:17" ht="24.75">
      <c r="A17" s="234" t="s">
        <v>186</v>
      </c>
      <c r="B17" s="233"/>
      <c r="C17" s="142">
        <v>4</v>
      </c>
      <c r="D17" s="143">
        <v>24566</v>
      </c>
      <c r="E17" s="136" t="s">
        <v>178</v>
      </c>
      <c r="F17" s="136" t="s">
        <v>178</v>
      </c>
      <c r="G17" s="136" t="s">
        <v>178</v>
      </c>
      <c r="H17" s="136" t="s">
        <v>178</v>
      </c>
      <c r="I17" s="136" t="s">
        <v>178</v>
      </c>
      <c r="J17" s="144">
        <v>314</v>
      </c>
      <c r="K17" s="136" t="s">
        <v>178</v>
      </c>
      <c r="L17" s="136" t="s">
        <v>178</v>
      </c>
      <c r="M17" s="136" t="s">
        <v>178</v>
      </c>
      <c r="N17" s="136" t="s">
        <v>178</v>
      </c>
      <c r="O17" s="136">
        <v>277</v>
      </c>
      <c r="P17" s="136" t="s">
        <v>178</v>
      </c>
      <c r="Q17" s="136" t="s">
        <v>178</v>
      </c>
    </row>
    <row r="18" spans="1:17">
      <c r="A18" s="145"/>
      <c r="B18" s="125"/>
      <c r="C18" s="126"/>
      <c r="D18" s="126"/>
      <c r="E18" s="127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</row>
    <row r="19" spans="1:17">
      <c r="A19" s="232" t="s">
        <v>187</v>
      </c>
      <c r="B19" s="233"/>
      <c r="C19" s="129">
        <v>8</v>
      </c>
      <c r="D19" s="130">
        <v>10129</v>
      </c>
      <c r="E19" s="131">
        <v>203</v>
      </c>
      <c r="F19" s="131">
        <v>122</v>
      </c>
      <c r="G19" s="132">
        <v>0.04</v>
      </c>
      <c r="H19" s="131">
        <v>1451</v>
      </c>
      <c r="I19" s="132">
        <v>0.17</v>
      </c>
      <c r="J19" s="131">
        <v>1654</v>
      </c>
      <c r="K19" s="131">
        <v>22887</v>
      </c>
      <c r="L19" s="133">
        <v>7.0000000000000007E-2</v>
      </c>
      <c r="M19" s="133">
        <v>0.39</v>
      </c>
      <c r="N19" s="134">
        <v>209</v>
      </c>
      <c r="O19" s="134">
        <v>12236</v>
      </c>
      <c r="P19" s="134">
        <v>1560511</v>
      </c>
      <c r="Q19" s="133">
        <v>0.15</v>
      </c>
    </row>
    <row r="20" spans="1:17">
      <c r="A20" s="124"/>
      <c r="B20" s="125"/>
      <c r="C20" s="126"/>
      <c r="D20" s="126"/>
      <c r="E20" s="127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</row>
    <row r="21" spans="1:17" ht="15.75" customHeight="1">
      <c r="A21" s="232" t="s">
        <v>188</v>
      </c>
      <c r="B21" s="233"/>
      <c r="C21" s="129">
        <v>4</v>
      </c>
      <c r="D21" s="130">
        <v>15585</v>
      </c>
      <c r="E21" s="131">
        <v>0</v>
      </c>
      <c r="F21" s="131">
        <v>0</v>
      </c>
      <c r="G21" s="132">
        <v>0</v>
      </c>
      <c r="H21" s="131">
        <v>887</v>
      </c>
      <c r="I21" s="136" t="s">
        <v>178</v>
      </c>
      <c r="J21" s="131">
        <v>887</v>
      </c>
      <c r="K21" s="131">
        <v>5305</v>
      </c>
      <c r="L21" s="133">
        <v>0</v>
      </c>
      <c r="M21" s="136" t="s">
        <v>178</v>
      </c>
      <c r="N21" s="134">
        <v>17</v>
      </c>
      <c r="O21" s="134">
        <v>972</v>
      </c>
      <c r="P21" s="134">
        <v>2411</v>
      </c>
      <c r="Q21" s="136" t="s">
        <v>178</v>
      </c>
    </row>
    <row r="22" spans="1:17" ht="15.75" customHeight="1">
      <c r="A22" s="124"/>
      <c r="B22" s="125"/>
      <c r="C22" s="126"/>
      <c r="D22" s="126"/>
      <c r="E22" s="127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</row>
    <row r="23" spans="1:17" ht="15.75" customHeight="1">
      <c r="A23" s="232" t="s">
        <v>189</v>
      </c>
      <c r="B23" s="233"/>
      <c r="C23" s="129">
        <v>8</v>
      </c>
      <c r="D23" s="130">
        <v>12790</v>
      </c>
      <c r="E23" s="131">
        <v>1250</v>
      </c>
      <c r="F23" s="131">
        <v>156</v>
      </c>
      <c r="G23" s="136" t="s">
        <v>178</v>
      </c>
      <c r="H23" s="131">
        <v>0</v>
      </c>
      <c r="I23" s="132">
        <v>0</v>
      </c>
      <c r="J23" s="131">
        <v>1250</v>
      </c>
      <c r="K23" s="136" t="s">
        <v>178</v>
      </c>
      <c r="L23" s="136" t="s">
        <v>178</v>
      </c>
      <c r="M23" s="136" t="s">
        <v>178</v>
      </c>
      <c r="N23" s="134">
        <v>28</v>
      </c>
      <c r="O23" s="134">
        <v>1618</v>
      </c>
      <c r="P23" s="134">
        <v>4013</v>
      </c>
      <c r="Q23" s="136" t="s">
        <v>178</v>
      </c>
    </row>
    <row r="24" spans="1:17" ht="15.75" customHeight="1">
      <c r="A24" s="124"/>
      <c r="B24" s="125"/>
      <c r="C24" s="126"/>
      <c r="D24" s="126"/>
      <c r="E24" s="127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</row>
    <row r="25" spans="1:17" ht="15.75" customHeight="1">
      <c r="A25" s="234" t="s">
        <v>190</v>
      </c>
      <c r="B25" s="233"/>
      <c r="C25" s="142">
        <v>4</v>
      </c>
      <c r="D25" s="143">
        <v>9451</v>
      </c>
      <c r="E25" s="131">
        <v>269</v>
      </c>
      <c r="F25" s="131">
        <v>1078</v>
      </c>
      <c r="G25" s="132">
        <v>0.15</v>
      </c>
      <c r="H25" s="131">
        <v>0</v>
      </c>
      <c r="I25" s="132">
        <v>0</v>
      </c>
      <c r="J25" s="131">
        <v>1078</v>
      </c>
      <c r="K25" s="131">
        <v>27158</v>
      </c>
      <c r="L25" s="133">
        <v>0.11</v>
      </c>
      <c r="M25" s="133">
        <v>0.18</v>
      </c>
      <c r="N25" s="134">
        <v>63</v>
      </c>
      <c r="O25" s="134">
        <v>3596</v>
      </c>
      <c r="P25" s="134">
        <v>47827</v>
      </c>
      <c r="Q25" s="133">
        <v>0.14000000000000001</v>
      </c>
    </row>
    <row r="26" spans="1:17" ht="15.75" customHeight="1">
      <c r="A26" s="124" t="s">
        <v>178</v>
      </c>
      <c r="B26" s="125"/>
      <c r="C26" s="126"/>
      <c r="D26" s="126"/>
      <c r="E26" s="127">
        <v>1</v>
      </c>
      <c r="F26" s="128" t="s">
        <v>178</v>
      </c>
      <c r="G26" s="128" t="s">
        <v>178</v>
      </c>
      <c r="H26" s="128" t="s">
        <v>178</v>
      </c>
      <c r="I26" s="128" t="s">
        <v>178</v>
      </c>
      <c r="J26" s="128" t="s">
        <v>178</v>
      </c>
      <c r="K26" s="128" t="s">
        <v>178</v>
      </c>
      <c r="L26" s="128" t="s">
        <v>178</v>
      </c>
      <c r="M26" s="128" t="s">
        <v>178</v>
      </c>
      <c r="N26" s="128" t="s">
        <v>178</v>
      </c>
      <c r="O26" s="128" t="s">
        <v>178</v>
      </c>
      <c r="P26" s="128" t="s">
        <v>178</v>
      </c>
      <c r="Q26" s="128" t="s">
        <v>178</v>
      </c>
    </row>
    <row r="27" spans="1:17" ht="15.75" customHeight="1">
      <c r="A27" s="232" t="s">
        <v>191</v>
      </c>
      <c r="B27" s="233"/>
      <c r="C27" s="129">
        <v>4</v>
      </c>
      <c r="D27" s="130">
        <v>25375</v>
      </c>
      <c r="E27" s="131">
        <v>0</v>
      </c>
      <c r="F27" s="131">
        <v>0</v>
      </c>
      <c r="G27" s="132">
        <v>0</v>
      </c>
      <c r="H27" s="131">
        <v>1436</v>
      </c>
      <c r="I27" s="132">
        <v>0.3</v>
      </c>
      <c r="J27" s="131">
        <v>1436</v>
      </c>
      <c r="K27" s="136" t="s">
        <v>178</v>
      </c>
      <c r="L27" s="136" t="s">
        <v>178</v>
      </c>
      <c r="M27" s="133">
        <v>0.73</v>
      </c>
      <c r="N27" s="134">
        <v>184</v>
      </c>
      <c r="O27" s="134">
        <v>10532</v>
      </c>
      <c r="P27" s="134">
        <v>26120</v>
      </c>
      <c r="Q27" s="133">
        <v>0.3</v>
      </c>
    </row>
    <row r="28" spans="1:17" ht="15.75" customHeight="1">
      <c r="A28" s="146"/>
      <c r="B28" s="125"/>
      <c r="C28" s="126"/>
      <c r="D28" s="137">
        <v>28880</v>
      </c>
      <c r="E28" s="147"/>
      <c r="F28" s="147"/>
      <c r="G28" s="148"/>
      <c r="H28" s="147"/>
      <c r="I28" s="148"/>
      <c r="J28" s="147"/>
      <c r="K28" s="147"/>
      <c r="L28" s="149"/>
      <c r="M28" s="149"/>
      <c r="N28" s="127"/>
      <c r="O28" s="127"/>
      <c r="P28" s="127"/>
      <c r="Q28" s="149"/>
    </row>
    <row r="29" spans="1:17" ht="15.75" customHeight="1">
      <c r="A29" s="124" t="s">
        <v>178</v>
      </c>
      <c r="B29" s="125"/>
      <c r="C29" s="126"/>
      <c r="D29" s="126"/>
      <c r="E29" s="127"/>
      <c r="F29" s="128" t="s">
        <v>178</v>
      </c>
      <c r="G29" s="128" t="s">
        <v>178</v>
      </c>
      <c r="H29" s="128" t="s">
        <v>178</v>
      </c>
      <c r="I29" s="128" t="s">
        <v>178</v>
      </c>
      <c r="J29" s="128" t="s">
        <v>178</v>
      </c>
      <c r="K29" s="128" t="s">
        <v>178</v>
      </c>
      <c r="L29" s="128" t="s">
        <v>178</v>
      </c>
      <c r="M29" s="128" t="s">
        <v>178</v>
      </c>
      <c r="N29" s="128" t="s">
        <v>178</v>
      </c>
      <c r="O29" s="128" t="s">
        <v>178</v>
      </c>
      <c r="P29" s="128" t="s">
        <v>178</v>
      </c>
      <c r="Q29" s="128" t="s">
        <v>178</v>
      </c>
    </row>
    <row r="30" spans="1:17" ht="15" customHeight="1">
      <c r="A30" s="232" t="s">
        <v>192</v>
      </c>
      <c r="B30" s="233"/>
      <c r="C30" s="129">
        <v>12</v>
      </c>
      <c r="D30" s="130">
        <v>35000</v>
      </c>
      <c r="E30" s="136" t="s">
        <v>178</v>
      </c>
      <c r="F30" s="136" t="s">
        <v>178</v>
      </c>
      <c r="G30" s="136" t="s">
        <v>178</v>
      </c>
      <c r="H30" s="136" t="s">
        <v>178</v>
      </c>
      <c r="I30" s="136" t="s">
        <v>178</v>
      </c>
      <c r="J30" s="144">
        <v>369</v>
      </c>
      <c r="K30" s="136" t="s">
        <v>178</v>
      </c>
      <c r="L30" s="136" t="s">
        <v>178</v>
      </c>
      <c r="M30" s="136" t="s">
        <v>178</v>
      </c>
      <c r="N30" s="136" t="s">
        <v>178</v>
      </c>
      <c r="O30" s="150">
        <v>2497</v>
      </c>
      <c r="P30" s="136" t="s">
        <v>178</v>
      </c>
      <c r="Q30" s="136"/>
    </row>
    <row r="31" spans="1:17" ht="15.75" customHeight="1">
      <c r="A31" s="124"/>
      <c r="B31" s="125"/>
      <c r="C31" s="126"/>
      <c r="D31" s="126"/>
      <c r="E31" s="127"/>
      <c r="F31" s="128" t="s">
        <v>178</v>
      </c>
      <c r="G31" s="128" t="s">
        <v>178</v>
      </c>
      <c r="H31" s="128" t="s">
        <v>178</v>
      </c>
      <c r="I31" s="128" t="s">
        <v>178</v>
      </c>
      <c r="J31" s="128" t="s">
        <v>178</v>
      </c>
      <c r="K31" s="128" t="s">
        <v>178</v>
      </c>
      <c r="L31" s="128" t="s">
        <v>178</v>
      </c>
      <c r="M31" s="128" t="s">
        <v>178</v>
      </c>
      <c r="N31" s="128" t="s">
        <v>178</v>
      </c>
      <c r="O31" s="128" t="s">
        <v>178</v>
      </c>
      <c r="P31" s="128" t="s">
        <v>178</v>
      </c>
      <c r="Q31" s="128" t="s">
        <v>178</v>
      </c>
    </row>
    <row r="32" spans="1:17" ht="15.75" customHeight="1">
      <c r="A32" s="232" t="s">
        <v>193</v>
      </c>
      <c r="B32" s="216"/>
      <c r="C32" s="135">
        <v>20</v>
      </c>
      <c r="D32" s="151">
        <v>5336</v>
      </c>
      <c r="E32" s="131">
        <v>200</v>
      </c>
      <c r="F32" s="131">
        <v>50</v>
      </c>
      <c r="G32" s="132">
        <v>7.0000000000000007E-2</v>
      </c>
      <c r="H32" s="131">
        <v>0</v>
      </c>
      <c r="I32" s="132">
        <v>0</v>
      </c>
      <c r="J32" s="131">
        <v>200</v>
      </c>
      <c r="K32" s="136" t="s">
        <v>178</v>
      </c>
      <c r="L32" s="136" t="s">
        <v>178</v>
      </c>
      <c r="M32" s="133">
        <v>0.2</v>
      </c>
      <c r="N32" s="134">
        <v>4</v>
      </c>
      <c r="O32" s="134">
        <v>339</v>
      </c>
      <c r="P32" s="134">
        <v>841</v>
      </c>
      <c r="Q32" s="133">
        <v>7.0000000000000007E-2</v>
      </c>
    </row>
    <row r="33" spans="1:17" ht="15.75" customHeight="1">
      <c r="A33" s="152"/>
      <c r="B33" s="135"/>
      <c r="C33" s="135"/>
      <c r="D33" s="151"/>
      <c r="E33" s="131"/>
      <c r="F33" s="131"/>
      <c r="G33" s="132"/>
      <c r="H33" s="131"/>
      <c r="I33" s="132"/>
      <c r="J33" s="131"/>
      <c r="K33" s="136"/>
      <c r="L33" s="136"/>
      <c r="M33" s="133"/>
      <c r="N33" s="134"/>
      <c r="O33" s="134"/>
      <c r="P33" s="134"/>
      <c r="Q33" s="133"/>
    </row>
    <row r="34" spans="1:17" ht="15.75" customHeight="1">
      <c r="A34" s="152" t="s">
        <v>194</v>
      </c>
      <c r="B34" s="135"/>
      <c r="C34" s="135">
        <v>4</v>
      </c>
      <c r="D34" s="151"/>
      <c r="E34" s="131"/>
      <c r="F34" s="131"/>
      <c r="G34" s="132"/>
      <c r="H34" s="131"/>
      <c r="I34" s="132"/>
      <c r="J34" s="131">
        <v>216</v>
      </c>
      <c r="K34" s="136"/>
      <c r="L34" s="136"/>
      <c r="M34" s="133"/>
      <c r="N34" s="134"/>
      <c r="O34" s="141">
        <v>3525</v>
      </c>
      <c r="P34" s="134"/>
      <c r="Q34" s="133"/>
    </row>
    <row r="35" spans="1:17" ht="15.75" customHeight="1">
      <c r="A35" s="152"/>
      <c r="B35" s="135"/>
      <c r="C35" s="135"/>
      <c r="D35" s="151"/>
      <c r="E35" s="131"/>
      <c r="F35" s="131"/>
      <c r="G35" s="132"/>
      <c r="H35" s="131"/>
      <c r="I35" s="132"/>
      <c r="J35" s="131"/>
      <c r="K35" s="136"/>
      <c r="L35" s="136"/>
      <c r="M35" s="133"/>
      <c r="N35" s="134"/>
      <c r="O35" s="134"/>
      <c r="P35" s="134"/>
      <c r="Q35" s="133"/>
    </row>
    <row r="36" spans="1:17" ht="15.75" customHeight="1">
      <c r="A36" s="152" t="s">
        <v>195</v>
      </c>
      <c r="B36" s="135"/>
      <c r="C36" s="135">
        <v>2</v>
      </c>
      <c r="D36" s="151"/>
      <c r="E36" s="131"/>
      <c r="F36" s="131"/>
      <c r="G36" s="132"/>
      <c r="H36" s="131"/>
      <c r="I36" s="132"/>
      <c r="J36" s="131"/>
      <c r="K36" s="136"/>
      <c r="L36" s="136"/>
      <c r="M36" s="133"/>
      <c r="N36" s="134"/>
      <c r="O36" s="141">
        <v>3506</v>
      </c>
      <c r="P36" s="134"/>
      <c r="Q36" s="133"/>
    </row>
    <row r="37" spans="1:17" ht="15.75" customHeight="1">
      <c r="A37" s="152"/>
      <c r="B37" s="135"/>
      <c r="C37" s="135"/>
      <c r="D37" s="151"/>
      <c r="E37" s="131"/>
      <c r="F37" s="131"/>
      <c r="G37" s="132"/>
      <c r="H37" s="131"/>
      <c r="I37" s="132"/>
      <c r="J37" s="131"/>
      <c r="K37" s="136"/>
      <c r="L37" s="136"/>
      <c r="M37" s="133"/>
      <c r="N37" s="134"/>
      <c r="O37" s="134"/>
      <c r="P37" s="134"/>
      <c r="Q37" s="133"/>
    </row>
    <row r="38" spans="1:17" ht="15.75" customHeight="1">
      <c r="A38" s="153" t="s">
        <v>26</v>
      </c>
      <c r="B38" s="154"/>
      <c r="C38" s="155">
        <f t="shared" ref="C38:F38" si="0">SUM(C2:C37)</f>
        <v>110</v>
      </c>
      <c r="D38" s="155">
        <f t="shared" si="0"/>
        <v>383045</v>
      </c>
      <c r="E38" s="156">
        <f t="shared" si="0"/>
        <v>5421</v>
      </c>
      <c r="F38" s="156">
        <f t="shared" si="0"/>
        <v>1877</v>
      </c>
      <c r="G38" s="157"/>
      <c r="H38" s="156">
        <f>SUM(H2:H37)</f>
        <v>6166</v>
      </c>
      <c r="I38" s="157"/>
      <c r="J38" s="156">
        <f t="shared" ref="J38:K38" si="1">SUM(J2:J37)</f>
        <v>13632</v>
      </c>
      <c r="K38" s="156">
        <f t="shared" si="1"/>
        <v>96390</v>
      </c>
      <c r="L38" s="158"/>
      <c r="M38" s="158">
        <f t="shared" ref="M38:P38" si="2">SUM(M2:M37)</f>
        <v>2.79</v>
      </c>
      <c r="N38" s="159">
        <f t="shared" si="2"/>
        <v>841.4</v>
      </c>
      <c r="O38" s="159">
        <f t="shared" si="2"/>
        <v>70929</v>
      </c>
      <c r="P38" s="159">
        <f t="shared" si="2"/>
        <v>1710093</v>
      </c>
      <c r="Q38" s="158"/>
    </row>
    <row r="39" spans="1:17" ht="15.75" customHeight="1">
      <c r="A39" s="160" t="s">
        <v>196</v>
      </c>
      <c r="B39" s="154"/>
      <c r="C39" s="155"/>
      <c r="D39" s="155"/>
      <c r="E39" s="159"/>
      <c r="F39" s="161" t="s">
        <v>178</v>
      </c>
      <c r="G39" s="161" t="s">
        <v>178</v>
      </c>
      <c r="H39" s="161" t="s">
        <v>178</v>
      </c>
      <c r="I39" s="161" t="s">
        <v>178</v>
      </c>
      <c r="J39" s="161" t="s">
        <v>178</v>
      </c>
      <c r="K39" s="161" t="s">
        <v>178</v>
      </c>
      <c r="L39" s="161" t="s">
        <v>178</v>
      </c>
      <c r="M39" s="161" t="s">
        <v>178</v>
      </c>
      <c r="N39" s="161" t="s">
        <v>178</v>
      </c>
      <c r="O39" s="161" t="s">
        <v>178</v>
      </c>
      <c r="P39" s="161" t="s">
        <v>178</v>
      </c>
      <c r="Q39" s="161" t="s">
        <v>178</v>
      </c>
    </row>
    <row r="40" spans="1:17" ht="15.75" customHeight="1">
      <c r="A40" s="7" t="s">
        <v>197</v>
      </c>
      <c r="E40" s="84" t="s">
        <v>198</v>
      </c>
      <c r="F40" s="84" t="s">
        <v>199</v>
      </c>
      <c r="H40" s="84" t="s">
        <v>200</v>
      </c>
      <c r="J40" s="84" t="s">
        <v>201</v>
      </c>
      <c r="K40" s="84" t="s">
        <v>202</v>
      </c>
      <c r="N40" s="84" t="s">
        <v>203</v>
      </c>
      <c r="O40" s="84" t="s">
        <v>204</v>
      </c>
      <c r="P40" s="84" t="s">
        <v>205</v>
      </c>
    </row>
    <row r="41" spans="1:17" ht="15.75" customHeight="1">
      <c r="A41" s="84" t="s">
        <v>206</v>
      </c>
      <c r="E41" s="11">
        <v>301</v>
      </c>
      <c r="F41" s="11">
        <v>104</v>
      </c>
      <c r="H41" s="11">
        <v>342.5</v>
      </c>
      <c r="J41" s="11">
        <v>745</v>
      </c>
      <c r="K41" s="11">
        <v>5355</v>
      </c>
      <c r="N41" s="84" t="s">
        <v>207</v>
      </c>
      <c r="O41" s="84" t="s">
        <v>208</v>
      </c>
      <c r="P41" s="84" t="s">
        <v>209</v>
      </c>
    </row>
    <row r="42" spans="1:17" ht="15.75" customHeight="1"/>
    <row r="43" spans="1:17" ht="15.75" customHeight="1"/>
    <row r="44" spans="1:17" ht="15.75" customHeight="1">
      <c r="F44" s="162"/>
    </row>
    <row r="45" spans="1:17" ht="15.75" customHeight="1"/>
    <row r="46" spans="1:17" ht="15.75" customHeight="1"/>
    <row r="47" spans="1:17" ht="15.75" customHeight="1"/>
    <row r="48" spans="1:1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30:B30"/>
    <mergeCell ref="A32:B32"/>
    <mergeCell ref="A3:B3"/>
    <mergeCell ref="A5:B5"/>
    <mergeCell ref="A7:B7"/>
    <mergeCell ref="A9:B9"/>
    <mergeCell ref="A13:B13"/>
    <mergeCell ref="A15:B15"/>
    <mergeCell ref="A17:B17"/>
    <mergeCell ref="A19:B19"/>
    <mergeCell ref="A21:B21"/>
    <mergeCell ref="A23:B23"/>
    <mergeCell ref="A25:B25"/>
    <mergeCell ref="A27:B2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" customHeight="1"/>
  <cols>
    <col min="1" max="1" width="26.140625" customWidth="1"/>
    <col min="2" max="2" width="5.28515625" customWidth="1"/>
    <col min="3" max="3" width="7.28515625" customWidth="1"/>
    <col min="4" max="4" width="18.140625" customWidth="1"/>
    <col min="5" max="5" width="18.28515625" customWidth="1"/>
    <col min="6" max="6" width="18.140625" customWidth="1"/>
    <col min="7" max="7" width="18.42578125" customWidth="1"/>
    <col min="8" max="8" width="18.140625" customWidth="1"/>
    <col min="9" max="9" width="18.42578125" customWidth="1"/>
    <col min="10" max="10" width="18.28515625" customWidth="1"/>
    <col min="11" max="13" width="18.140625" customWidth="1"/>
    <col min="14" max="14" width="18" customWidth="1"/>
    <col min="15" max="15" width="18.42578125" customWidth="1"/>
    <col min="16" max="16" width="18.5703125" customWidth="1"/>
    <col min="17" max="29" width="8.5703125" customWidth="1"/>
  </cols>
  <sheetData>
    <row r="1" spans="1:29" ht="53.25" customHeight="1">
      <c r="A1" s="120" t="s">
        <v>165</v>
      </c>
      <c r="B1" s="121" t="s">
        <v>166</v>
      </c>
      <c r="C1" s="121" t="s">
        <v>3</v>
      </c>
      <c r="D1" s="122" t="s">
        <v>167</v>
      </c>
      <c r="E1" s="122" t="s">
        <v>168</v>
      </c>
      <c r="F1" s="122" t="s">
        <v>169</v>
      </c>
      <c r="G1" s="122" t="s">
        <v>170</v>
      </c>
      <c r="H1" s="122" t="s">
        <v>171</v>
      </c>
      <c r="I1" s="122" t="s">
        <v>172</v>
      </c>
      <c r="J1" s="122" t="s">
        <v>173</v>
      </c>
      <c r="K1" s="122" t="s">
        <v>174</v>
      </c>
      <c r="L1" s="122" t="s">
        <v>175</v>
      </c>
      <c r="M1" s="122" t="s">
        <v>81</v>
      </c>
      <c r="N1" s="122" t="s">
        <v>6</v>
      </c>
      <c r="O1" s="122" t="s">
        <v>176</v>
      </c>
      <c r="P1" s="122" t="s">
        <v>177</v>
      </c>
      <c r="Q1" s="123"/>
      <c r="R1" s="123"/>
      <c r="S1" s="123"/>
      <c r="T1" s="123"/>
      <c r="U1" s="123"/>
      <c r="V1" s="7"/>
      <c r="W1" s="7"/>
      <c r="X1" s="7"/>
      <c r="Y1" s="7"/>
      <c r="Z1" s="7"/>
      <c r="AA1" s="7"/>
      <c r="AB1" s="7"/>
      <c r="AC1" s="7"/>
    </row>
    <row r="2" spans="1:29">
      <c r="A2" s="84" t="s">
        <v>210</v>
      </c>
      <c r="B2" s="84">
        <v>4</v>
      </c>
      <c r="C2" s="84">
        <v>10031</v>
      </c>
      <c r="I2" s="11">
        <v>7</v>
      </c>
      <c r="N2" s="84">
        <v>10</v>
      </c>
    </row>
    <row r="3" spans="1:29">
      <c r="A3" s="84" t="s">
        <v>211</v>
      </c>
      <c r="C3" s="163">
        <v>4170</v>
      </c>
    </row>
    <row r="5" spans="1:29">
      <c r="A5" s="84" t="s">
        <v>212</v>
      </c>
      <c r="B5" s="139">
        <v>2</v>
      </c>
      <c r="C5" s="140">
        <v>4790</v>
      </c>
      <c r="I5" s="11">
        <v>102</v>
      </c>
      <c r="N5" s="84">
        <v>595</v>
      </c>
    </row>
    <row r="6" spans="1:29">
      <c r="A6" s="84" t="s">
        <v>213</v>
      </c>
      <c r="B6" s="139"/>
      <c r="C6" s="140">
        <v>21150</v>
      </c>
      <c r="I6" s="11">
        <v>236</v>
      </c>
      <c r="N6" s="84">
        <v>3666</v>
      </c>
    </row>
    <row r="7" spans="1:29">
      <c r="A7" s="84" t="s">
        <v>214</v>
      </c>
      <c r="B7" s="164"/>
      <c r="C7" s="165">
        <v>1115</v>
      </c>
      <c r="I7" s="11"/>
    </row>
    <row r="9" spans="1:29">
      <c r="A9" s="84" t="s">
        <v>215</v>
      </c>
      <c r="B9" s="84">
        <v>16</v>
      </c>
      <c r="C9" s="84">
        <v>25025</v>
      </c>
    </row>
    <row r="10" spans="1:29">
      <c r="A10" s="84" t="s">
        <v>216</v>
      </c>
    </row>
    <row r="12" spans="1:29">
      <c r="A12" s="84" t="s">
        <v>217</v>
      </c>
      <c r="B12" s="129">
        <v>4</v>
      </c>
      <c r="C12" s="130">
        <v>19030</v>
      </c>
      <c r="I12" s="84" t="s">
        <v>218</v>
      </c>
      <c r="N12" s="84" t="s">
        <v>219</v>
      </c>
    </row>
    <row r="13" spans="1:29">
      <c r="A13" s="84" t="s">
        <v>220</v>
      </c>
      <c r="B13" s="126"/>
      <c r="C13" s="137">
        <v>75700</v>
      </c>
      <c r="I13" s="11">
        <v>1552</v>
      </c>
      <c r="N13" s="84">
        <v>1846</v>
      </c>
    </row>
    <row r="15" spans="1:29">
      <c r="A15" s="84" t="s">
        <v>221</v>
      </c>
      <c r="B15" s="129">
        <v>4</v>
      </c>
      <c r="C15" s="130">
        <v>25375</v>
      </c>
      <c r="I15" s="84" t="s">
        <v>222</v>
      </c>
      <c r="N15" s="84" t="s">
        <v>223</v>
      </c>
    </row>
    <row r="16" spans="1:29">
      <c r="A16" s="84" t="s">
        <v>224</v>
      </c>
      <c r="B16" s="126"/>
      <c r="C16" s="137">
        <v>28880</v>
      </c>
      <c r="I16" s="84">
        <v>-169</v>
      </c>
      <c r="N16" s="84">
        <v>-421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4DAFCC507F9E4BBD60D08DD30F7B73" ma:contentTypeVersion="18" ma:contentTypeDescription="Create a new document." ma:contentTypeScope="" ma:versionID="0ceb572f30dbef526c9b5034c5c9324b">
  <xsd:schema xmlns:xsd="http://www.w3.org/2001/XMLSchema" xmlns:xs="http://www.w3.org/2001/XMLSchema" xmlns:p="http://schemas.microsoft.com/office/2006/metadata/properties" xmlns:ns2="24b88046-d417-44bf-99e8-e7a3e1d81484" xmlns:ns3="a3841f91-f28c-445a-806b-fc71175e8f36" targetNamespace="http://schemas.microsoft.com/office/2006/metadata/properties" ma:root="true" ma:fieldsID="d1cb7a6d7ba9d4b3f509eacf054d92b6" ns2:_="" ns3:_="">
    <xsd:import namespace="24b88046-d417-44bf-99e8-e7a3e1d81484"/>
    <xsd:import namespace="a3841f91-f28c-445a-806b-fc71175e8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88046-d417-44bf-99e8-e7a3e1d814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0a4420d-1669-4459-9f4c-b41d671ed1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841f91-f28c-445a-806b-fc71175e8f3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de7e51-712e-4a73-913c-98450c2d1353}" ma:internalName="TaxCatchAll" ma:showField="CatchAllData" ma:web="a3841f91-f28c-445a-806b-fc71175e8f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841f91-f28c-445a-806b-fc71175e8f36" xsi:nil="true"/>
    <lcf76f155ced4ddcb4097134ff3c332f xmlns="24b88046-d417-44bf-99e8-e7a3e1d814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161021-3FE9-4DCE-9482-9BABB077A8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A86C6F-0BEC-4861-8931-9AFB7963FC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b88046-d417-44bf-99e8-e7a3e1d81484"/>
    <ds:schemaRef ds:uri="a3841f91-f28c-445a-806b-fc71175e8f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80D17A-7A3F-4112-88FA-FFC8E9F0496D}">
  <ds:schemaRefs>
    <ds:schemaRef ds:uri="http://schemas.microsoft.com/office/2006/metadata/properties"/>
    <ds:schemaRef ds:uri="http://schemas.microsoft.com/office/infopath/2007/PartnerControls"/>
    <ds:schemaRef ds:uri="a3841f91-f28c-445a-806b-fc71175e8f36"/>
    <ds:schemaRef ds:uri="24b88046-d417-44bf-99e8-e7a3e1d814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Tab</vt:lpstr>
      <vt:lpstr>OEI by Measure</vt:lpstr>
      <vt:lpstr>CDBG and ARPA by Measure</vt:lpstr>
      <vt:lpstr>Madison Capital 2024</vt:lpstr>
      <vt:lpstr>Madison Capital &amp; EECBG 2025</vt:lpstr>
      <vt:lpstr>All Properties Data (Bad data)</vt:lpstr>
      <vt:lpstr>Multiyear Properties (Bad data)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Frankie Fosdick</dc:creator>
  <cp:keywords/>
  <dc:description/>
  <cp:lastModifiedBy>Frankie Fosdick</cp:lastModifiedBy>
  <cp:revision/>
  <dcterms:created xsi:type="dcterms:W3CDTF">2024-01-31T17:03:28Z</dcterms:created>
  <dcterms:modified xsi:type="dcterms:W3CDTF">2026-02-02T22:12:26Z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0x010100AE4DAFCC507F9E4BBD60D08DD30F7B73</vt:lpwstr>
  </property>
  <property fmtid="{D5CDD505-2E9C-101B-9397-08002B2CF9AE}" pid="3" name="MediaServiceImageTags">
    <vt:lpwstr/>
  </property>
</Properties>
</file>